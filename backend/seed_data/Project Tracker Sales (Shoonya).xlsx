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ct &amp; Task Tracker" sheetId="1" state="visible" r:id="rId3"/>
    <sheet name="Rewards &amp; Recognition" sheetId="2" state="visible" r:id="rId4"/>
    <sheet name="Dashboard" sheetId="3" state="visible" r:id="rId5"/>
    <sheet name="Extra Tasks" sheetId="4" state="visible" r:id="rId6"/>
  </sheets>
  <definedNames>
    <definedName function="false" hidden="true" localSheetId="0" name="_xlnm._FilterDatabase" vbProcedure="false">'Project &amp; Task Tracker'!$A$3:$R$56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<sst xmlns="http://schemas.openxmlformats.org/spreadsheetml/2006/main" count="1009" uniqueCount="175">
  <si>
    <t xml:space="preserve">PROJECT &amp; TASK TRACKER</t>
  </si>
  <si>
    <t xml:space="preserve">Project / Initiative</t>
  </si>
  <si>
    <t xml:space="preserve">Task / Deliverable</t>
  </si>
  <si>
    <t xml:space="preserve">Team Member</t>
  </si>
  <si>
    <t xml:space="preserve">Team</t>
  </si>
  <si>
    <t xml:space="preserve">Champion / Owner</t>
  </si>
  <si>
    <t xml:space="preserve">Priority</t>
  </si>
  <si>
    <t xml:space="preserve">Start Date</t>
  </si>
  <si>
    <t xml:space="preserve">Target Date</t>
  </si>
  <si>
    <t xml:space="preserve">Completed Date</t>
  </si>
  <si>
    <t xml:space="preserve">Status</t>
  </si>
  <si>
    <t xml:space="preserve">On Time?
(auto)</t>
  </si>
  <si>
    <t xml:space="preserve">Delay Reason</t>
  </si>
  <si>
    <t xml:space="preserve">Delay Reason
Validated?</t>
  </si>
  <si>
    <t xml:space="preserve">Remarks</t>
  </si>
  <si>
    <t xml:space="preserve">Monthly Individual Target
(Number) </t>
  </si>
  <si>
    <t xml:space="preserve">Monthly Achieved
(Number)</t>
  </si>
  <si>
    <t xml:space="preserve">Achievement %
(auto)</t>
  </si>
  <si>
    <t xml:space="preserve">Sales Performance</t>
  </si>
  <si>
    <t xml:space="preserve">Call Volume 200 Calls Per Day</t>
  </si>
  <si>
    <t xml:space="preserve">Babita</t>
  </si>
  <si>
    <t xml:space="preserve">Sales</t>
  </si>
  <si>
    <t xml:space="preserve">Rajesh</t>
  </si>
  <si>
    <t xml:space="preserve">Medium</t>
  </si>
  <si>
    <t xml:space="preserve">Completed</t>
  </si>
  <si>
    <t xml:space="preserve">Client Interaction 100 Calls Per Day (50% of Calls Done)</t>
  </si>
  <si>
    <t xml:space="preserve">Ongoing</t>
  </si>
  <si>
    <t xml:space="preserve">Accounts Target Monthly 440 Accounts</t>
  </si>
  <si>
    <t xml:space="preserve">High</t>
  </si>
  <si>
    <t xml:space="preserve">Kulwinder</t>
  </si>
  <si>
    <t xml:space="preserve">Call Volume 194 Calls Per Day</t>
  </si>
  <si>
    <t xml:space="preserve">Rahul</t>
  </si>
  <si>
    <t xml:space="preserve">Client Interaction 97 Calls Per Day (50% of Calls Done)</t>
  </si>
  <si>
    <t xml:space="preserve">Accounts Target Monthly 400 Accounts</t>
  </si>
  <si>
    <t xml:space="preserve">Nadeem</t>
  </si>
  <si>
    <t xml:space="preserve">Upasana</t>
  </si>
  <si>
    <t xml:space="preserve">Call Volume 180 Calls Per Day</t>
  </si>
  <si>
    <t xml:space="preserve">Anshul</t>
  </si>
  <si>
    <t xml:space="preserve">Client Interaction 72 Calls Per Day (40% of Calls Done)</t>
  </si>
  <si>
    <t xml:space="preserve">Accounts Target Monthly 390 Accounts</t>
  </si>
  <si>
    <t xml:space="preserve">Alishba</t>
  </si>
  <si>
    <t xml:space="preserve">Rajat</t>
  </si>
  <si>
    <t xml:space="preserve">Ujjwala</t>
  </si>
  <si>
    <t xml:space="preserve">Call Volume 150 Calls Per Day</t>
  </si>
  <si>
    <t xml:space="preserve">Ramandeep</t>
  </si>
  <si>
    <t xml:space="preserve">Client Interaction 60 Calls Per Day (40% of Calls Done)</t>
  </si>
  <si>
    <t xml:space="preserve">Accounts Target Monthly 330 Accounts</t>
  </si>
  <si>
    <t xml:space="preserve">Call Volume 190 Calls Per Day</t>
  </si>
  <si>
    <t xml:space="preserve">Tanu</t>
  </si>
  <si>
    <t xml:space="preserve">Client Interaction 85 Calls Per Day (45% of Calls Done)</t>
  </si>
  <si>
    <t xml:space="preserve">Accounts Target Monthly 410 Accounts</t>
  </si>
  <si>
    <t xml:space="preserve">Sakshi</t>
  </si>
  <si>
    <t xml:space="preserve">Accounts Target Monthly 300 Accounts</t>
  </si>
  <si>
    <t xml:space="preserve">Team Call Volume 200 Calls Per Day</t>
  </si>
  <si>
    <t xml:space="preserve">Gurjot Sodhi</t>
  </si>
  <si>
    <t xml:space="preserve">Team Client Interaction 100 Calls Per Day (50% of Calls Done)</t>
  </si>
  <si>
    <t xml:space="preserve">Team Accounts Target Monthly 440 Accounts</t>
  </si>
  <si>
    <t xml:space="preserve">Overall Accounts Conversion</t>
  </si>
  <si>
    <t xml:space="preserve">NA (40% Of Leads)</t>
  </si>
  <si>
    <t xml:space="preserve">Team Call Volume 185 Calls Per Day</t>
  </si>
  <si>
    <t xml:space="preserve">Durga</t>
  </si>
  <si>
    <t xml:space="preserve">Team Client Interaction 90 Calls Per Day (50% of Calls Done)</t>
  </si>
  <si>
    <t xml:space="preserve">Team Accounts Target Monthly 350 Accounts</t>
  </si>
  <si>
    <t xml:space="preserve">Call Volume 110 Calls Per Day</t>
  </si>
  <si>
    <t xml:space="preserve">Deepak Moraina</t>
  </si>
  <si>
    <t xml:space="preserve">Client Intraction 50 call per day (35 %  call done )</t>
  </si>
  <si>
    <t xml:space="preserve">Account Opening Targets</t>
  </si>
  <si>
    <t xml:space="preserve">Team Call Volume 211 Calls Per Day</t>
  </si>
  <si>
    <t xml:space="preserve">Anju Kumari</t>
  </si>
  <si>
    <t xml:space="preserve">Team Client Interaction 106 Calls Per Day (50% of Calls Done)</t>
  </si>
  <si>
    <t xml:space="preserve">Team Accounts Target Monthly 264 Accounts</t>
  </si>
  <si>
    <t xml:space="preserve">Lead-to-Registration Conversion Performance (Team)</t>
  </si>
  <si>
    <t xml:space="preserve">Call Volume 136 Calls Per Day</t>
  </si>
  <si>
    <t xml:space="preserve">Neha Solanki</t>
  </si>
  <si>
    <t xml:space="preserve">Client Interaction 80 Calls Per Day (58% of Calls Done)</t>
  </si>
  <si>
    <t xml:space="preserve">Accounts Target Monthly 250 Accounts(42% of Lead)</t>
  </si>
  <si>
    <t xml:space="preserve">Call Volume 185 Calls Per Day</t>
  </si>
  <si>
    <t xml:space="preserve">Shivani Sharma</t>
  </si>
  <si>
    <t xml:space="preserve">Amit Kumar</t>
  </si>
  <si>
    <t xml:space="preserve">Client Interaction 150 Calls Per Day </t>
  </si>
  <si>
    <t xml:space="preserve">Funded Clients Target Monthly 330 Accounts</t>
  </si>
  <si>
    <t xml:space="preserve">Fundes Added  Target Monthly 2 cr  Accounts</t>
  </si>
  <si>
    <t xml:space="preserve">2  cr</t>
  </si>
  <si>
    <t xml:space="preserve">Shivani. D</t>
  </si>
  <si>
    <t xml:space="preserve">Shubham</t>
  </si>
  <si>
    <t xml:space="preserve">Client Interaction 125 Calls Per Day </t>
  </si>
  <si>
    <t xml:space="preserve">Account Reactivation Target Monthly 50 Accounts</t>
  </si>
  <si>
    <t xml:space="preserve">Fundes Added  Target Monthly 10 Lacs  Accounts</t>
  </si>
  <si>
    <t xml:space="preserve">10 lacs</t>
  </si>
  <si>
    <t xml:space="preserve">Simar</t>
  </si>
  <si>
    <t xml:space="preserve">Anita</t>
  </si>
  <si>
    <t xml:space="preserve">Parmodh</t>
  </si>
  <si>
    <t xml:space="preserve">Client Interaction 90 Calls Per Day </t>
  </si>
  <si>
    <t xml:space="preserve">Funded Clients Target Monthly 660 Accounts</t>
  </si>
  <si>
    <t xml:space="preserve">Fundes Added  Target Monthly 3.40 cr  Accounts</t>
  </si>
  <si>
    <t xml:space="preserve">3.40  cr</t>
  </si>
  <si>
    <t xml:space="preserve">Amanpreet</t>
  </si>
  <si>
    <t xml:space="preserve">Call Volume 175 Calls Per Day</t>
  </si>
  <si>
    <t xml:space="preserve">Satwinder</t>
  </si>
  <si>
    <t xml:space="preserve">Client Interaction 100 Calls Per Day </t>
  </si>
  <si>
    <t xml:space="preserve">Gouri</t>
  </si>
  <si>
    <t xml:space="preserve">Client Interaction 130 Calls Per Day </t>
  </si>
  <si>
    <t xml:space="preserve">Ashwani</t>
  </si>
  <si>
    <t xml:space="preserve">Shalini</t>
  </si>
  <si>
    <t xml:space="preserve">Salamat</t>
  </si>
  <si>
    <t xml:space="preserve">Team Call Volume</t>
  </si>
  <si>
    <t xml:space="preserve">Amit</t>
  </si>
  <si>
    <t xml:space="preserve">Team Client Interaction </t>
  </si>
  <si>
    <t xml:space="preserve">Zero-Funded Clients </t>
  </si>
  <si>
    <t xml:space="preserve">Fundes Added </t>
  </si>
  <si>
    <t xml:space="preserve">Account Reactivation</t>
  </si>
  <si>
    <t xml:space="preserve">Fundes Added</t>
  </si>
  <si>
    <t xml:space="preserve">HNI Client - Resolve client issues</t>
  </si>
  <si>
    <t xml:space="preserve">REWARDS &amp; RECOGNITION</t>
  </si>
  <si>
    <t xml:space="preserve">Tasks Completed
On Time (auto)</t>
  </si>
  <si>
    <t xml:space="preserve">Tasks
Delayed (auto)</t>
  </si>
  <si>
    <t xml:space="preserve">Avg Achievement
% (auto)</t>
  </si>
  <si>
    <t xml:space="preserve">Avg Quality</t>
  </si>
  <si>
    <t xml:space="preserve">Csat</t>
  </si>
  <si>
    <t xml:space="preserve">Compliance</t>
  </si>
  <si>
    <t xml:space="preserve">Innovation</t>
  </si>
  <si>
    <t xml:space="preserve">Bonus Points
(you type this)</t>
  </si>
  <si>
    <t xml:space="preserve">Total Points
(auto)</t>
  </si>
  <si>
    <t xml:space="preserve">Reward Tier
(auto)</t>
  </si>
  <si>
    <t xml:space="preserve">Reward Given</t>
  </si>
  <si>
    <t xml:space="preserve">Date Awarded</t>
  </si>
  <si>
    <t xml:space="preserve">Approved By</t>
  </si>
  <si>
    <t xml:space="preserve">Pramodh</t>
  </si>
  <si>
    <t xml:space="preserve">Shivani Dhiman</t>
  </si>
  <si>
    <t xml:space="preserve">Anita </t>
  </si>
  <si>
    <t xml:space="preserve">TEAM &amp; PROJECT DASHBOARD</t>
  </si>
  <si>
    <t xml:space="preserve">Live — updates automatically from the other 3 sheets</t>
  </si>
  <si>
    <t xml:space="preserve">Total Tasks</t>
  </si>
  <si>
    <t xml:space="preserve">Delayed</t>
  </si>
  <si>
    <t xml:space="preserve">Task Status</t>
  </si>
  <si>
    <t xml:space="preserve">Count</t>
  </si>
  <si>
    <t xml:space="preserve">Open Tasks</t>
  </si>
  <si>
    <t xml:space="preserve">Learning &amp; Development</t>
  </si>
  <si>
    <t xml:space="preserve">Human Resources</t>
  </si>
  <si>
    <t xml:space="preserve">IT / Tech</t>
  </si>
  <si>
    <t xml:space="preserve">On Hold</t>
  </si>
  <si>
    <t xml:space="preserve">Operations</t>
  </si>
  <si>
    <t xml:space="preserve">Customer Support</t>
  </si>
  <si>
    <t xml:space="preserve">Finance</t>
  </si>
  <si>
    <t xml:space="preserve">REWARDS SNAPSHOT</t>
  </si>
  <si>
    <t xml:space="preserve">Gold</t>
  </si>
  <si>
    <t xml:space="preserve">Silver</t>
  </si>
  <si>
    <t xml:space="preserve">Bronze</t>
  </si>
  <si>
    <t xml:space="preserve">Backstage, Hold, Chat, Star ticket etc other tasks completion on daily basis</t>
  </si>
  <si>
    <t xml:space="preserve">Update within within TAT
Star (within hour)
same day</t>
  </si>
  <si>
    <t xml:space="preserve">Team Audit</t>
  </si>
  <si>
    <t xml:space="preserve">Monthly</t>
  </si>
  <si>
    <t xml:space="preserve">Team Tasks Audit</t>
  </si>
  <si>
    <t xml:space="preserve">Daily &amp; Monthly Tasks &amp; Report Updation</t>
  </si>
  <si>
    <t xml:space="preserve">Internal &amp; External Meetings</t>
  </si>
  <si>
    <t xml:space="preserve">Requirements Through Jira</t>
  </si>
  <si>
    <t xml:space="preserve">Onboarding &amp; Other Enhancements</t>
  </si>
  <si>
    <t xml:space="preserve">Testing &amp; Feedback Etc </t>
  </si>
  <si>
    <t xml:space="preserve">Non-Individual Account Opening Conversion </t>
  </si>
  <si>
    <t xml:space="preserve">Fund Mobilisation from Existing Active Non-Individual Clients – Daily checking by Back Office</t>
  </si>
  <si>
    <t xml:space="preserve">New AP Onboarding (Acquire and successfully onboard new Authorized Partners by completing documentation, activation, and training processes within the defined timelines.</t>
  </si>
  <si>
    <t xml:space="preserve">Team Productivity &amp; Target Achievement (Drive timely achievement of team targets by enhancing overall productivity through performance tracking, gap analysis, and strong accountability.)</t>
  </si>
  <si>
    <t xml:space="preserve">Onboarding Enhancements</t>
  </si>
  <si>
    <t xml:space="preserve">Physical Form Filling</t>
  </si>
  <si>
    <t xml:space="preserve">Physical Form Collection/Verification – NRI Form, Joint Account &amp; Minor Account with Anju</t>
  </si>
  <si>
    <t xml:space="preserve">IPV Process Management</t>
  </si>
  <si>
    <t xml:space="preserve">NRI Account Opening Conversion </t>
  </si>
  <si>
    <t xml:space="preserve">Fund Mobilisation from Existing Active NRl Clients – Daily checking by Back Office</t>
  </si>
  <si>
    <t xml:space="preserve">Individual Account Opening Conversion </t>
  </si>
  <si>
    <t xml:space="preserve">HNI Client Service Excellence</t>
  </si>
  <si>
    <t xml:space="preserve">Sales Incoming Call Handling</t>
  </si>
  <si>
    <t xml:space="preserve">Courier ticket and  Star ticket etc other tasks completion on daily basis</t>
  </si>
  <si>
    <t xml:space="preserve">Missing Tickets to maintain lower backlog</t>
  </si>
  <si>
    <t xml:space="preserve">Esign Check</t>
  </si>
  <si>
    <t xml:space="preserve">Reception Tasks Are Being Handled Efficiently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</si>
</sst>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%"/>
    <numFmt numFmtId="167" formatCode="General"/>
    <numFmt numFmtId="168" formatCode="#,##0"/>
  </numFmts>
  <fonts count="18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b val="true"/>
      <sz val="18"/>
      <color rgb="FF1B2A4A"/>
      <name val="Cambria"/>
      <family val="0"/>
      <charset val="1"/>
    </font>
    <font>
      <i val="true"/>
      <sz val="11"/>
      <color rgb="FF0E7C86"/>
      <name val="Cambria"/>
      <family val="0"/>
      <charset val="1"/>
    </font>
    <font>
      <b val="true"/>
      <sz val="10"/>
      <color rgb="FF0E7C86"/>
      <name val="Calibri"/>
      <family val="0"/>
      <charset val="1"/>
    </font>
    <font>
      <b val="true"/>
      <sz val="20"/>
      <color rgb="FF1B2A4A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0E7C8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6DF"/>
        <bgColor rgb="FFF5F7FA"/>
      </patternFill>
    </fill>
    <fill>
      <patternFill patternType="solid">
        <fgColor rgb="FFF5F7FA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1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7C1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FE9A8"/>
        </patternFill>
      </fill>
    </dxf>
    <dxf>
      <fill>
        <patternFill>
          <bgColor rgb="FFE2E2E2"/>
        </patternFill>
      </fill>
    </dxf>
    <dxf>
      <fill>
        <patternFill>
          <bgColor rgb="FFE8C39E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  <dxf>
      <fill>
        <patternFill>
          <bgColor rgb="FFF4C7C3"/>
        </patternFill>
      </fill>
    </dxf>
    <dxf>
      <fill>
        <patternFill>
          <bgColor rgb="FFC6E7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7B7B7"/>
      <rgbColor rgb="FF4F81BD"/>
      <rgbColor rgb="FF9999FF"/>
      <rgbColor rgb="FFC0504D"/>
      <rgbColor rgb="FFFFF6DF"/>
      <rgbColor rgb="FFF5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7C1"/>
      <rgbColor rgb="FFFFE9A8"/>
      <rgbColor rgb="FF99CCFF"/>
      <rgbColor rgb="FFF4C7C3"/>
      <rgbColor rgb="FFCC99FF"/>
      <rgbColor rgb="FFE8C39E"/>
      <rgbColor rgb="FF4285F4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285f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Dashboard!$B$10:$B$13</c:f>
              <c:strCache>
                <c:ptCount val="4"/>
                <c:pt idx="0">
                  <c:v>Ongoing</c:v>
                </c:pt>
                <c:pt idx="1">
                  <c:v>Completed</c:v>
                </c:pt>
                <c:pt idx="2">
                  <c:v>Delayed</c:v>
                </c:pt>
                <c:pt idx="3">
                  <c:v>On Hold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Tasks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Dashboard!$E$10:$E$17</c:f>
              <c:strCache>
                <c:ptCount val="8"/>
                <c:pt idx="0">
                  <c:v>Learning &amp; Development</c:v>
                </c:pt>
                <c:pt idx="1">
                  <c:v>Human Resources</c:v>
                </c:pt>
                <c:pt idx="2">
                  <c:v>IT / Tech</c:v>
                </c:pt>
                <c:pt idx="3">
                  <c:v>Sales</c:v>
                </c:pt>
                <c:pt idx="4">
                  <c:v>Operations</c:v>
                </c:pt>
                <c:pt idx="5">
                  <c:v>Compliance</c:v>
                </c:pt>
                <c:pt idx="6">
                  <c:v>Customer Support</c:v>
                </c:pt>
                <c:pt idx="7">
                  <c:v>Finance</c:v>
                </c:pt>
              </c:strCache>
            </c:strRef>
          </c:cat>
          <c:val>
            <c:numRef>
              <c:f>Dashboard!$F$10:$F$17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6696222"/>
        <c:axId val="42264654"/>
      </c:barChart>
      <c:catAx>
        <c:axId val="669622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64654"/>
        <c:crosses val="autoZero"/>
        <c:auto val="1"/>
        <c:lblAlgn val="ctr"/>
        <c:lblOffset val="100"/>
        <c:noMultiLvlLbl val="0"/>
      </c:catAx>
      <c:valAx>
        <c:axId val="42264654"/>
        <c:scaling>
          <c:orientation val="minMax"/>
        </c:scaling>
        <c:delete val="0"/>
        <c:axPos val="l"/>
        <c:majorGridlines>
          <c:spPr>
            <a:ln w="936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622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95400</xdr:rowOff>
    </xdr:from>
    <xdr:to>
      <xdr:col>4</xdr:col>
      <xdr:colOff>174960</xdr:colOff>
      <xdr:row>40</xdr:row>
      <xdr:rowOff>114120</xdr:rowOff>
    </xdr:to>
    <xdr:graphicFrame>
      <xdr:nvGraphicFramePr>
        <xdr:cNvPr id="0" name="Chart 1"/>
        <xdr:cNvGraphicFramePr/>
      </xdr:nvGraphicFramePr>
      <xdr:xfrm>
        <a:off x="1549440" y="4876920"/>
        <a:ext cx="342864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95400</xdr:rowOff>
    </xdr:from>
    <xdr:to>
      <xdr:col>9</xdr:col>
      <xdr:colOff>292680</xdr:colOff>
      <xdr:row>40</xdr:row>
      <xdr:rowOff>114120</xdr:rowOff>
    </xdr:to>
    <xdr:graphicFrame>
      <xdr:nvGraphicFramePr>
        <xdr:cNvPr id="1" name="Chart 2"/>
        <xdr:cNvGraphicFramePr/>
      </xdr:nvGraphicFramePr>
      <xdr:xfrm>
        <a:off x="5887800" y="4876920"/>
        <a:ext cx="3381120" cy="27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378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3.38"/>
    <col collapsed="false" customWidth="true" hidden="false" outlineLevel="0" max="3" min="3" style="0" width="16"/>
    <col collapsed="false" customWidth="true" hidden="false" outlineLevel="0" max="4" min="4" style="0" width="8.62"/>
    <col collapsed="false" customWidth="true" hidden="false" outlineLevel="0" max="5" min="5" style="0" width="12.2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13.76"/>
    <col collapsed="false" customWidth="true" hidden="false" outlineLevel="0" max="14" min="14" style="0" width="22"/>
    <col collapsed="false" customWidth="true" hidden="false" outlineLevel="0" max="15" min="15" style="0" width="25.62"/>
    <col collapsed="false" customWidth="true" hidden="false" outlineLevel="0" max="16" min="16" style="0" width="17.88"/>
    <col collapsed="false" customWidth="true" hidden="false" outlineLevel="0" max="17" min="17" style="0" width="15.62"/>
    <col collapsed="false" customWidth="true" hidden="false" outlineLevel="0" max="18" min="18" style="0" width="8.6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customFormat="false" ht="14.25" hidden="false" customHeight="true" outlineLevel="0" collapsed="false">
      <c r="A4" s="3" t="s">
        <v>18</v>
      </c>
      <c r="B4" s="3" t="s">
        <v>19</v>
      </c>
      <c r="C4" s="4" t="s">
        <v>20</v>
      </c>
      <c r="D4" s="3" t="s">
        <v>21</v>
      </c>
      <c r="E4" s="4" t="s">
        <v>22</v>
      </c>
      <c r="F4" s="3" t="s">
        <v>23</v>
      </c>
      <c r="G4" s="5" t="n">
        <v>46266</v>
      </c>
      <c r="H4" s="5" t="n">
        <v>46295</v>
      </c>
      <c r="I4" s="5"/>
      <c r="J4" s="3" t="s">
        <v>24</v>
      </c>
      <c r="K4" s="3" t="str">
        <f aca="false">IF(I4="","",IF(I4&lt;=H4,"Yes","No"))</f>
        <v/>
      </c>
      <c r="L4" s="3"/>
      <c r="M4" s="3"/>
      <c r="N4" s="3"/>
      <c r="O4" s="6" t="n">
        <v>4400</v>
      </c>
      <c r="P4" s="6"/>
      <c r="Q4" s="7" t="str">
        <f aca="false">IFERROR(IF(OR(O4="",O4=0),"",P4/O4),"")</f>
        <v>0%</v>
      </c>
    </row>
    <row r="5" customFormat="false" ht="14.25" hidden="false" customHeight="true" outlineLevel="0" collapsed="false">
      <c r="A5" s="3" t="s">
        <v>18</v>
      </c>
      <c r="B5" s="3" t="s">
        <v>25</v>
      </c>
      <c r="C5" s="4" t="s">
        <v>20</v>
      </c>
      <c r="D5" s="3" t="s">
        <v>21</v>
      </c>
      <c r="E5" s="4" t="s">
        <v>22</v>
      </c>
      <c r="F5" s="3" t="s">
        <v>23</v>
      </c>
      <c r="G5" s="5" t="n">
        <v>46266</v>
      </c>
      <c r="H5" s="5" t="n">
        <v>46295</v>
      </c>
      <c r="I5" s="5"/>
      <c r="J5" s="3" t="s">
        <v>26</v>
      </c>
      <c r="K5" s="3" t="str">
        <f aca="false">IF(I5="","",IF(I5&lt;=H5,"Yes","No"))</f>
        <v/>
      </c>
      <c r="L5" s="3"/>
      <c r="M5" s="3"/>
      <c r="N5" s="3"/>
      <c r="O5" s="6" t="n">
        <v>2200</v>
      </c>
      <c r="P5" s="6"/>
      <c r="Q5" s="7" t="str">
        <f aca="false">IFERROR(IF(OR(O5="",O5=0),"",P5/O5),"")</f>
        <v>0%</v>
      </c>
    </row>
    <row r="6" customFormat="false" ht="14.25" hidden="false" customHeight="true" outlineLevel="0" collapsed="false">
      <c r="A6" s="3" t="s">
        <v>18</v>
      </c>
      <c r="B6" s="3" t="s">
        <v>27</v>
      </c>
      <c r="C6" s="4" t="s">
        <v>20</v>
      </c>
      <c r="D6" s="3" t="s">
        <v>21</v>
      </c>
      <c r="E6" s="4" t="s">
        <v>22</v>
      </c>
      <c r="F6" s="3" t="s">
        <v>28</v>
      </c>
      <c r="G6" s="5" t="n">
        <v>46266</v>
      </c>
      <c r="H6" s="5" t="n">
        <v>46295</v>
      </c>
      <c r="I6" s="5"/>
      <c r="J6" s="3" t="s">
        <v>26</v>
      </c>
      <c r="K6" s="3" t="str">
        <f aca="false">IF(I6="","",IF(I6&lt;=H6,"Yes","No"))</f>
        <v/>
      </c>
      <c r="L6" s="3"/>
      <c r="M6" s="3"/>
      <c r="N6" s="3"/>
      <c r="O6" s="6" t="n">
        <v>440</v>
      </c>
      <c r="P6" s="6"/>
      <c r="Q6" s="7" t="str">
        <f aca="false">IFERROR(IF(OR(O6="",O6=0),"",P6/O6),"")</f>
        <v>0%</v>
      </c>
    </row>
    <row r="7" customFormat="false" ht="14.25" hidden="false" customHeight="true" outlineLevel="0" collapsed="false">
      <c r="A7" s="3" t="s">
        <v>18</v>
      </c>
      <c r="B7" s="3" t="s">
        <v>19</v>
      </c>
      <c r="C7" s="4" t="s">
        <v>29</v>
      </c>
      <c r="D7" s="3" t="s">
        <v>21</v>
      </c>
      <c r="E7" s="4" t="s">
        <v>22</v>
      </c>
      <c r="F7" s="3" t="s">
        <v>23</v>
      </c>
      <c r="G7" s="5" t="n">
        <v>46266</v>
      </c>
      <c r="H7" s="5" t="n">
        <v>46295</v>
      </c>
      <c r="I7" s="5" t="n">
        <v>46295</v>
      </c>
      <c r="J7" s="3" t="s">
        <v>24</v>
      </c>
      <c r="K7" s="3" t="str">
        <f aca="false">IF(I7="","",IF(I7&lt;=H7,"Yes","No"))</f>
        <v>Yes</v>
      </c>
      <c r="L7" s="3"/>
      <c r="M7" s="3"/>
      <c r="N7" s="3"/>
      <c r="O7" s="6" t="n">
        <v>4400</v>
      </c>
      <c r="P7" s="6" t="n">
        <v>4000</v>
      </c>
      <c r="Q7" s="7" t="str">
        <f aca="false">IFERROR(IF(OR(O7="",O7=0),"",P7/O7),"")</f>
        <v>91%</v>
      </c>
    </row>
    <row r="8" customFormat="false" ht="14.25" hidden="false" customHeight="true" outlineLevel="0" collapsed="false">
      <c r="A8" s="3" t="s">
        <v>18</v>
      </c>
      <c r="B8" s="3" t="s">
        <v>25</v>
      </c>
      <c r="C8" s="4" t="s">
        <v>29</v>
      </c>
      <c r="D8" s="3" t="s">
        <v>21</v>
      </c>
      <c r="E8" s="4" t="s">
        <v>22</v>
      </c>
      <c r="F8" s="3" t="s">
        <v>23</v>
      </c>
      <c r="G8" s="5" t="n">
        <v>46266</v>
      </c>
      <c r="H8" s="5" t="n">
        <v>46295</v>
      </c>
      <c r="I8" s="5"/>
      <c r="J8" s="3"/>
      <c r="K8" s="3" t="str">
        <f aca="false">IF(I8="","",IF(I8&lt;=H8,"Yes","No"))</f>
        <v/>
      </c>
      <c r="L8" s="3"/>
      <c r="M8" s="3"/>
      <c r="N8" s="3"/>
      <c r="O8" s="6" t="n">
        <v>2200</v>
      </c>
      <c r="P8" s="6"/>
      <c r="Q8" s="7" t="str">
        <f aca="false">IFERROR(IF(OR(O8="",O8=0),"",P8/O8),"")</f>
        <v>0%</v>
      </c>
    </row>
    <row r="9" customFormat="false" ht="14.25" hidden="false" customHeight="true" outlineLevel="0" collapsed="false">
      <c r="A9" s="3" t="s">
        <v>18</v>
      </c>
      <c r="B9" s="3" t="s">
        <v>27</v>
      </c>
      <c r="C9" s="4" t="s">
        <v>29</v>
      </c>
      <c r="D9" s="3" t="s">
        <v>21</v>
      </c>
      <c r="E9" s="4" t="s">
        <v>22</v>
      </c>
      <c r="F9" s="3" t="s">
        <v>28</v>
      </c>
      <c r="G9" s="5" t="n">
        <v>46266</v>
      </c>
      <c r="H9" s="5" t="n">
        <v>46295</v>
      </c>
      <c r="I9" s="5"/>
      <c r="J9" s="3"/>
      <c r="K9" s="3" t="str">
        <f aca="false">IF(I9="","",IF(I9&lt;=H9,"Yes","No"))</f>
        <v/>
      </c>
      <c r="L9" s="3"/>
      <c r="M9" s="3"/>
      <c r="N9" s="3"/>
      <c r="O9" s="6" t="n">
        <v>440</v>
      </c>
      <c r="P9" s="6"/>
      <c r="Q9" s="7" t="str">
        <f aca="false">IFERROR(IF(OR(O9="",O9=0),"",P9/O9),"")</f>
        <v>0%</v>
      </c>
    </row>
    <row r="10" customFormat="false" ht="14.25" hidden="false" customHeight="true" outlineLevel="0" collapsed="false">
      <c r="A10" s="3" t="s">
        <v>18</v>
      </c>
      <c r="B10" s="3" t="s">
        <v>30</v>
      </c>
      <c r="C10" s="4" t="s">
        <v>31</v>
      </c>
      <c r="D10" s="3" t="s">
        <v>21</v>
      </c>
      <c r="E10" s="4" t="s">
        <v>22</v>
      </c>
      <c r="F10" s="3" t="s">
        <v>23</v>
      </c>
      <c r="G10" s="5" t="n">
        <v>46266</v>
      </c>
      <c r="H10" s="5" t="n">
        <v>46295</v>
      </c>
      <c r="I10" s="5"/>
      <c r="J10" s="3"/>
      <c r="K10" s="3" t="str">
        <f aca="false">IF(I10="","",IF(I10&lt;=H10,"Yes","No"))</f>
        <v/>
      </c>
      <c r="L10" s="3"/>
      <c r="M10" s="3"/>
      <c r="N10" s="3"/>
      <c r="O10" s="6" t="n">
        <v>4268</v>
      </c>
      <c r="P10" s="6"/>
      <c r="Q10" s="7" t="str">
        <f aca="false">IFERROR(IF(OR(O10="",O10=0),"",P10/O10),"")</f>
        <v>0%</v>
      </c>
    </row>
    <row r="11" customFormat="false" ht="14.25" hidden="false" customHeight="true" outlineLevel="0" collapsed="false">
      <c r="A11" s="3" t="s">
        <v>18</v>
      </c>
      <c r="B11" s="3" t="s">
        <v>32</v>
      </c>
      <c r="C11" s="4" t="s">
        <v>31</v>
      </c>
      <c r="D11" s="3" t="s">
        <v>21</v>
      </c>
      <c r="E11" s="4" t="s">
        <v>22</v>
      </c>
      <c r="F11" s="3" t="s">
        <v>23</v>
      </c>
      <c r="G11" s="5" t="n">
        <v>46266</v>
      </c>
      <c r="H11" s="5" t="n">
        <v>46295</v>
      </c>
      <c r="I11" s="5"/>
      <c r="J11" s="3"/>
      <c r="K11" s="3" t="str">
        <f aca="false">IF(I11="","",IF(I11&lt;=H11,"Yes","No"))</f>
        <v/>
      </c>
      <c r="L11" s="3"/>
      <c r="M11" s="3"/>
      <c r="N11" s="3"/>
      <c r="O11" s="6" t="n">
        <v>2134</v>
      </c>
      <c r="P11" s="6"/>
      <c r="Q11" s="7" t="str">
        <f aca="false">IFERROR(IF(OR(O11="",O11=0),"",P11/O11),"")</f>
        <v>0%</v>
      </c>
    </row>
    <row r="12" customFormat="false" ht="14.25" hidden="false" customHeight="true" outlineLevel="0" collapsed="false">
      <c r="A12" s="3" t="s">
        <v>18</v>
      </c>
      <c r="B12" s="3" t="s">
        <v>33</v>
      </c>
      <c r="C12" s="4" t="s">
        <v>31</v>
      </c>
      <c r="D12" s="3" t="s">
        <v>21</v>
      </c>
      <c r="E12" s="4" t="s">
        <v>22</v>
      </c>
      <c r="F12" s="3" t="s">
        <v>28</v>
      </c>
      <c r="G12" s="5" t="n">
        <v>46266</v>
      </c>
      <c r="H12" s="5" t="n">
        <v>46295</v>
      </c>
      <c r="I12" s="5"/>
      <c r="J12" s="3"/>
      <c r="K12" s="3" t="str">
        <f aca="false">IF(I12="","",IF(I12&lt;=H12,"Yes","No"))</f>
        <v/>
      </c>
      <c r="L12" s="3"/>
      <c r="M12" s="3"/>
      <c r="N12" s="3"/>
      <c r="O12" s="6" t="n">
        <v>400</v>
      </c>
      <c r="P12" s="6"/>
      <c r="Q12" s="7" t="str">
        <f aca="false">IFERROR(IF(OR(O12="",O12=0),"",P12/O12),"")</f>
        <v>0%</v>
      </c>
    </row>
    <row r="13" customFormat="false" ht="14.25" hidden="false" customHeight="true" outlineLevel="0" collapsed="false">
      <c r="A13" s="3" t="s">
        <v>18</v>
      </c>
      <c r="B13" s="3" t="s">
        <v>19</v>
      </c>
      <c r="C13" s="4" t="s">
        <v>34</v>
      </c>
      <c r="D13" s="3" t="s">
        <v>21</v>
      </c>
      <c r="E13" s="4" t="s">
        <v>22</v>
      </c>
      <c r="F13" s="3" t="s">
        <v>23</v>
      </c>
      <c r="G13" s="5" t="n">
        <v>46266</v>
      </c>
      <c r="H13" s="5" t="n">
        <v>46295</v>
      </c>
      <c r="I13" s="5"/>
      <c r="J13" s="3"/>
      <c r="K13" s="3" t="str">
        <f aca="false">IF(I13="","",IF(I13&lt;=H13,"Yes","No"))</f>
        <v/>
      </c>
      <c r="L13" s="3"/>
      <c r="M13" s="3"/>
      <c r="N13" s="3"/>
      <c r="O13" s="6" t="n">
        <v>4400</v>
      </c>
      <c r="P13" s="6"/>
      <c r="Q13" s="7" t="str">
        <f aca="false">IFERROR(IF(OR(O13="",O13=0),"",P13/O13),"")</f>
        <v>0%</v>
      </c>
    </row>
    <row r="14" customFormat="false" ht="14.25" hidden="false" customHeight="true" outlineLevel="0" collapsed="false">
      <c r="A14" s="3" t="s">
        <v>18</v>
      </c>
      <c r="B14" s="3" t="s">
        <v>25</v>
      </c>
      <c r="C14" s="4" t="s">
        <v>34</v>
      </c>
      <c r="D14" s="3" t="s">
        <v>21</v>
      </c>
      <c r="E14" s="4" t="s">
        <v>22</v>
      </c>
      <c r="F14" s="3" t="s">
        <v>23</v>
      </c>
      <c r="G14" s="5" t="n">
        <v>46266</v>
      </c>
      <c r="H14" s="5" t="n">
        <v>46295</v>
      </c>
      <c r="I14" s="5"/>
      <c r="J14" s="3"/>
      <c r="K14" s="3" t="str">
        <f aca="false">IF(I14="","",IF(I14&lt;=H14,"Yes","No"))</f>
        <v/>
      </c>
      <c r="L14" s="3"/>
      <c r="M14" s="3"/>
      <c r="N14" s="3"/>
      <c r="O14" s="6" t="n">
        <v>2200</v>
      </c>
      <c r="P14" s="6"/>
      <c r="Q14" s="7" t="str">
        <f aca="false">IFERROR(IF(OR(O14="",O14=0),"",P14/O14),"")</f>
        <v>0%</v>
      </c>
    </row>
    <row r="15" customFormat="false" ht="14.25" hidden="false" customHeight="true" outlineLevel="0" collapsed="false">
      <c r="A15" s="3" t="s">
        <v>18</v>
      </c>
      <c r="B15" s="3" t="s">
        <v>27</v>
      </c>
      <c r="C15" s="4" t="s">
        <v>34</v>
      </c>
      <c r="D15" s="3" t="s">
        <v>21</v>
      </c>
      <c r="E15" s="4" t="s">
        <v>22</v>
      </c>
      <c r="F15" s="3" t="s">
        <v>28</v>
      </c>
      <c r="G15" s="5" t="n">
        <v>46266</v>
      </c>
      <c r="H15" s="5" t="n">
        <v>46295</v>
      </c>
      <c r="I15" s="5"/>
      <c r="J15" s="3"/>
      <c r="K15" s="3" t="str">
        <f aca="false">IF(I15="","",IF(I15&lt;=H15,"Yes","No"))</f>
        <v/>
      </c>
      <c r="L15" s="3"/>
      <c r="M15" s="3"/>
      <c r="N15" s="3"/>
      <c r="O15" s="6" t="n">
        <v>440</v>
      </c>
      <c r="P15" s="6"/>
      <c r="Q15" s="7" t="str">
        <f aca="false">IFERROR(IF(OR(O15="",O15=0),"",P15/O15),"")</f>
        <v>0%</v>
      </c>
    </row>
    <row r="16" customFormat="false" ht="14.25" hidden="false" customHeight="true" outlineLevel="0" collapsed="false">
      <c r="A16" s="3" t="s">
        <v>18</v>
      </c>
      <c r="B16" s="3" t="s">
        <v>19</v>
      </c>
      <c r="C16" s="4" t="s">
        <v>35</v>
      </c>
      <c r="D16" s="3" t="s">
        <v>21</v>
      </c>
      <c r="E16" s="4" t="str">
        <f aca="false">IFERROR(AVERAGEIFS('Project &amp; Task Tracker'!Q4:Q56,'Project &amp; Task Tracker'!$C$4:$C$46,$A16),"")</f>
        <v/>
      </c>
      <c r="F16" s="3" t="s">
        <v>23</v>
      </c>
      <c r="G16" s="5" t="n">
        <v>46266</v>
      </c>
      <c r="H16" s="5" t="n">
        <v>46295</v>
      </c>
      <c r="I16" s="5"/>
      <c r="J16" s="3"/>
      <c r="K16" s="3" t="str">
        <f aca="false">IF(I16="","",IF(I16&lt;=H16,"Yes","No"))</f>
        <v/>
      </c>
      <c r="L16" s="3"/>
      <c r="M16" s="3"/>
      <c r="N16" s="3"/>
      <c r="O16" s="6" t="n">
        <v>4400</v>
      </c>
      <c r="P16" s="6"/>
      <c r="Q16" s="7" t="str">
        <f aca="false">IFERROR(IF(OR(O16="",O16=0),"",P16/O16),"")</f>
        <v>0%</v>
      </c>
    </row>
    <row r="17" customFormat="false" ht="14.25" hidden="false" customHeight="true" outlineLevel="0" collapsed="false">
      <c r="A17" s="3" t="s">
        <v>18</v>
      </c>
      <c r="B17" s="3" t="s">
        <v>25</v>
      </c>
      <c r="C17" s="4" t="s">
        <v>35</v>
      </c>
      <c r="D17" s="3" t="s">
        <v>21</v>
      </c>
      <c r="E17" s="4" t="s">
        <v>22</v>
      </c>
      <c r="F17" s="3" t="s">
        <v>23</v>
      </c>
      <c r="G17" s="5" t="n">
        <v>46266</v>
      </c>
      <c r="H17" s="5" t="n">
        <v>46295</v>
      </c>
      <c r="I17" s="5"/>
      <c r="J17" s="3"/>
      <c r="K17" s="3" t="str">
        <f aca="false">IF(I17="","",IF(I17&lt;=H17,"Yes","No"))</f>
        <v/>
      </c>
      <c r="L17" s="3"/>
      <c r="M17" s="3"/>
      <c r="N17" s="3"/>
      <c r="O17" s="6" t="n">
        <v>2200</v>
      </c>
      <c r="P17" s="6"/>
      <c r="Q17" s="7" t="str">
        <f aca="false">IFERROR(IF(OR(O17="",O17=0),"",P17/O17),"")</f>
        <v>0%</v>
      </c>
    </row>
    <row r="18" customFormat="false" ht="14.25" hidden="false" customHeight="true" outlineLevel="0" collapsed="false">
      <c r="A18" s="3" t="s">
        <v>18</v>
      </c>
      <c r="B18" s="3" t="s">
        <v>27</v>
      </c>
      <c r="C18" s="4" t="s">
        <v>35</v>
      </c>
      <c r="D18" s="3" t="s">
        <v>21</v>
      </c>
      <c r="E18" s="4" t="s">
        <v>22</v>
      </c>
      <c r="F18" s="3" t="s">
        <v>28</v>
      </c>
      <c r="G18" s="5" t="n">
        <v>46266</v>
      </c>
      <c r="H18" s="5" t="n">
        <v>46295</v>
      </c>
      <c r="I18" s="5"/>
      <c r="J18" s="3"/>
      <c r="K18" s="3" t="str">
        <f aca="false">IF(I18="","",IF(I18&lt;=H18,"Yes","No"))</f>
        <v/>
      </c>
      <c r="L18" s="3"/>
      <c r="M18" s="3"/>
      <c r="N18" s="3"/>
      <c r="O18" s="6" t="n">
        <v>440</v>
      </c>
      <c r="P18" s="6"/>
      <c r="Q18" s="7" t="str">
        <f aca="false">IFERROR(IF(OR(O18="",O18=0),"",P18/O18),"")</f>
        <v>0%</v>
      </c>
    </row>
    <row r="19" customFormat="false" ht="14.25" hidden="false" customHeight="true" outlineLevel="0" collapsed="false">
      <c r="A19" s="3" t="s">
        <v>18</v>
      </c>
      <c r="B19" s="3" t="s">
        <v>36</v>
      </c>
      <c r="C19" s="4" t="s">
        <v>37</v>
      </c>
      <c r="D19" s="3" t="s">
        <v>21</v>
      </c>
      <c r="E19" s="4" t="s">
        <v>22</v>
      </c>
      <c r="F19" s="3" t="s">
        <v>23</v>
      </c>
      <c r="G19" s="5" t="n">
        <v>46266</v>
      </c>
      <c r="H19" s="5" t="n">
        <v>46295</v>
      </c>
      <c r="I19" s="5"/>
      <c r="J19" s="3"/>
      <c r="K19" s="3" t="str">
        <f aca="false">IF(I19="","",IF(I19&lt;=H19,"Yes","No"))</f>
        <v/>
      </c>
      <c r="L19" s="3"/>
      <c r="M19" s="3"/>
      <c r="N19" s="3"/>
      <c r="O19" s="6" t="n">
        <v>3960</v>
      </c>
      <c r="P19" s="6"/>
      <c r="Q19" s="7" t="str">
        <f aca="false">IFERROR(IF(OR(O19="",O19=0),"",P19/O19),"")</f>
        <v>0%</v>
      </c>
    </row>
    <row r="20" customFormat="false" ht="14.25" hidden="false" customHeight="true" outlineLevel="0" collapsed="false">
      <c r="A20" s="3" t="s">
        <v>18</v>
      </c>
      <c r="B20" s="3" t="s">
        <v>38</v>
      </c>
      <c r="C20" s="4" t="s">
        <v>37</v>
      </c>
      <c r="D20" s="3" t="s">
        <v>21</v>
      </c>
      <c r="E20" s="4" t="s">
        <v>22</v>
      </c>
      <c r="F20" s="3" t="s">
        <v>23</v>
      </c>
      <c r="G20" s="5" t="n">
        <v>46266</v>
      </c>
      <c r="H20" s="5" t="n">
        <v>46295</v>
      </c>
      <c r="I20" s="5"/>
      <c r="J20" s="3"/>
      <c r="K20" s="3" t="str">
        <f aca="false">IF(I20="","",IF(I20&lt;=H20,"Yes","No"))</f>
        <v/>
      </c>
      <c r="L20" s="3"/>
      <c r="M20" s="3"/>
      <c r="N20" s="3"/>
      <c r="O20" s="6" t="n">
        <v>1584</v>
      </c>
      <c r="P20" s="6"/>
      <c r="Q20" s="7" t="str">
        <f aca="false">IFERROR(IF(OR(O20="",O20=0),"",P20/O20),"")</f>
        <v>0%</v>
      </c>
    </row>
    <row r="21" customFormat="false" ht="14.25" hidden="false" customHeight="true" outlineLevel="0" collapsed="false">
      <c r="A21" s="3" t="s">
        <v>18</v>
      </c>
      <c r="B21" s="3" t="s">
        <v>39</v>
      </c>
      <c r="C21" s="4" t="s">
        <v>37</v>
      </c>
      <c r="D21" s="3" t="s">
        <v>21</v>
      </c>
      <c r="E21" s="4" t="s">
        <v>22</v>
      </c>
      <c r="F21" s="3" t="s">
        <v>28</v>
      </c>
      <c r="G21" s="5" t="n">
        <v>46266</v>
      </c>
      <c r="H21" s="5" t="n">
        <v>46295</v>
      </c>
      <c r="I21" s="5"/>
      <c r="J21" s="3"/>
      <c r="K21" s="3" t="str">
        <f aca="false">IF(I21="","",IF(I21&lt;=H21,"Yes","No"))</f>
        <v/>
      </c>
      <c r="L21" s="3"/>
      <c r="M21" s="3"/>
      <c r="N21" s="3"/>
      <c r="O21" s="6" t="n">
        <v>390</v>
      </c>
      <c r="P21" s="6"/>
      <c r="Q21" s="7" t="str">
        <f aca="false">IFERROR(IF(OR(O21="",O21=0),"",P21/O21),"")</f>
        <v>0%</v>
      </c>
    </row>
    <row r="22" customFormat="false" ht="14.25" hidden="false" customHeight="true" outlineLevel="0" collapsed="false">
      <c r="A22" s="3" t="s">
        <v>18</v>
      </c>
      <c r="B22" s="3" t="s">
        <v>19</v>
      </c>
      <c r="C22" s="4" t="s">
        <v>40</v>
      </c>
      <c r="D22" s="3" t="s">
        <v>21</v>
      </c>
      <c r="E22" s="4" t="s">
        <v>22</v>
      </c>
      <c r="F22" s="3" t="s">
        <v>23</v>
      </c>
      <c r="G22" s="5" t="n">
        <v>46266</v>
      </c>
      <c r="H22" s="5" t="n">
        <v>46295</v>
      </c>
      <c r="I22" s="5"/>
      <c r="J22" s="3"/>
      <c r="K22" s="3" t="str">
        <f aca="false">IF(I22="","",IF(I22&lt;=H22,"Yes","No"))</f>
        <v/>
      </c>
      <c r="L22" s="3"/>
      <c r="M22" s="3"/>
      <c r="N22" s="3"/>
      <c r="O22" s="6" t="n">
        <v>4400</v>
      </c>
      <c r="P22" s="6"/>
      <c r="Q22" s="7" t="str">
        <f aca="false">IFERROR(IF(OR(O22="",O22=0),"",P22/O22),"")</f>
        <v>0%</v>
      </c>
    </row>
    <row r="23" customFormat="false" ht="14.25" hidden="false" customHeight="true" outlineLevel="0" collapsed="false">
      <c r="A23" s="3" t="s">
        <v>18</v>
      </c>
      <c r="B23" s="3" t="s">
        <v>25</v>
      </c>
      <c r="C23" s="4" t="s">
        <v>40</v>
      </c>
      <c r="D23" s="3" t="s">
        <v>21</v>
      </c>
      <c r="E23" s="4" t="s">
        <v>22</v>
      </c>
      <c r="F23" s="3" t="s">
        <v>23</v>
      </c>
      <c r="G23" s="5" t="n">
        <v>46266</v>
      </c>
      <c r="H23" s="5" t="n">
        <v>46295</v>
      </c>
      <c r="I23" s="5"/>
      <c r="J23" s="3"/>
      <c r="K23" s="3" t="str">
        <f aca="false">IF(I23="","",IF(I23&lt;=H23,"Yes","No"))</f>
        <v/>
      </c>
      <c r="L23" s="3"/>
      <c r="M23" s="3"/>
      <c r="N23" s="3"/>
      <c r="O23" s="6" t="n">
        <v>2200</v>
      </c>
      <c r="P23" s="6"/>
      <c r="Q23" s="7" t="str">
        <f aca="false">IFERROR(IF(OR(O23="",O23=0),"",P23/O23),"")</f>
        <v>0%</v>
      </c>
    </row>
    <row r="24" customFormat="false" ht="14.25" hidden="false" customHeight="true" outlineLevel="0" collapsed="false">
      <c r="A24" s="3" t="s">
        <v>18</v>
      </c>
      <c r="B24" s="3" t="s">
        <v>27</v>
      </c>
      <c r="C24" s="4" t="s">
        <v>40</v>
      </c>
      <c r="D24" s="3" t="s">
        <v>21</v>
      </c>
      <c r="E24" s="4" t="s">
        <v>22</v>
      </c>
      <c r="F24" s="3" t="s">
        <v>28</v>
      </c>
      <c r="G24" s="5" t="n">
        <v>46266</v>
      </c>
      <c r="H24" s="5" t="n">
        <v>46295</v>
      </c>
      <c r="I24" s="5"/>
      <c r="J24" s="3"/>
      <c r="K24" s="3" t="str">
        <f aca="false">IF(I24="","",IF(I24&lt;=H24,"Yes","No"))</f>
        <v/>
      </c>
      <c r="L24" s="3"/>
      <c r="M24" s="3"/>
      <c r="N24" s="3"/>
      <c r="O24" s="6" t="n">
        <v>440</v>
      </c>
      <c r="P24" s="6"/>
      <c r="Q24" s="7" t="str">
        <f aca="false">IFERROR(IF(OR(O24="",O24=0),"",P24/O24),"")</f>
        <v>0%</v>
      </c>
    </row>
    <row r="25" customFormat="false" ht="14.25" hidden="false" customHeight="true" outlineLevel="0" collapsed="false">
      <c r="A25" s="3" t="s">
        <v>18</v>
      </c>
      <c r="B25" s="3" t="s">
        <v>19</v>
      </c>
      <c r="C25" s="4" t="s">
        <v>41</v>
      </c>
      <c r="D25" s="3" t="s">
        <v>21</v>
      </c>
      <c r="E25" s="4" t="s">
        <v>22</v>
      </c>
      <c r="F25" s="3" t="s">
        <v>23</v>
      </c>
      <c r="G25" s="5" t="n">
        <v>46266</v>
      </c>
      <c r="H25" s="5" t="n">
        <v>46295</v>
      </c>
      <c r="I25" s="5"/>
      <c r="J25" s="3"/>
      <c r="K25" s="3" t="str">
        <f aca="false">IF(I25="","",IF(I25&lt;=H25,"Yes","No"))</f>
        <v/>
      </c>
      <c r="L25" s="3"/>
      <c r="M25" s="3"/>
      <c r="N25" s="3"/>
      <c r="O25" s="6" t="n">
        <v>4400</v>
      </c>
      <c r="P25" s="6"/>
      <c r="Q25" s="7" t="str">
        <f aca="false">IFERROR(IF(OR(O25="",O25=0),"",P25/O25),"")</f>
        <v>0%</v>
      </c>
    </row>
    <row r="26" customFormat="false" ht="14.25" hidden="false" customHeight="true" outlineLevel="0" collapsed="false">
      <c r="A26" s="3" t="s">
        <v>18</v>
      </c>
      <c r="B26" s="3" t="s">
        <v>25</v>
      </c>
      <c r="C26" s="4" t="s">
        <v>41</v>
      </c>
      <c r="D26" s="3" t="s">
        <v>21</v>
      </c>
      <c r="E26" s="4" t="s">
        <v>22</v>
      </c>
      <c r="F26" s="3" t="s">
        <v>23</v>
      </c>
      <c r="G26" s="5" t="n">
        <v>46266</v>
      </c>
      <c r="H26" s="5" t="n">
        <v>46295</v>
      </c>
      <c r="I26" s="5"/>
      <c r="J26" s="3"/>
      <c r="K26" s="3" t="str">
        <f aca="false">IF(I26="","",IF(I26&lt;=H26,"Yes","No"))</f>
        <v/>
      </c>
      <c r="L26" s="3"/>
      <c r="M26" s="3"/>
      <c r="N26" s="3"/>
      <c r="O26" s="6" t="n">
        <v>2200</v>
      </c>
      <c r="P26" s="6"/>
      <c r="Q26" s="7" t="str">
        <f aca="false">IFERROR(IF(OR(O26="",O26=0),"",P26/O26),"")</f>
        <v>0%</v>
      </c>
    </row>
    <row r="27" customFormat="false" ht="14.25" hidden="false" customHeight="true" outlineLevel="0" collapsed="false">
      <c r="A27" s="3" t="s">
        <v>18</v>
      </c>
      <c r="B27" s="3" t="s">
        <v>27</v>
      </c>
      <c r="C27" s="4" t="s">
        <v>41</v>
      </c>
      <c r="D27" s="3" t="s">
        <v>21</v>
      </c>
      <c r="E27" s="4" t="s">
        <v>22</v>
      </c>
      <c r="F27" s="3" t="s">
        <v>28</v>
      </c>
      <c r="G27" s="5" t="n">
        <v>46266</v>
      </c>
      <c r="H27" s="5" t="n">
        <v>46295</v>
      </c>
      <c r="I27" s="5"/>
      <c r="J27" s="3"/>
      <c r="K27" s="3" t="str">
        <f aca="false">IF(I27="","",IF(I27&lt;=H27,"Yes","No"))</f>
        <v/>
      </c>
      <c r="L27" s="3"/>
      <c r="M27" s="3"/>
      <c r="N27" s="3"/>
      <c r="O27" s="6" t="n">
        <v>440</v>
      </c>
      <c r="P27" s="6"/>
      <c r="Q27" s="7" t="str">
        <f aca="false">IFERROR(IF(OR(O27="",O27=0),"",P27/O27),"")</f>
        <v>0%</v>
      </c>
    </row>
    <row r="28" customFormat="false" ht="14.25" hidden="false" customHeight="true" outlineLevel="0" collapsed="false">
      <c r="A28" s="3" t="s">
        <v>18</v>
      </c>
      <c r="B28" s="3" t="s">
        <v>19</v>
      </c>
      <c r="C28" s="4" t="s">
        <v>42</v>
      </c>
      <c r="D28" s="3" t="s">
        <v>21</v>
      </c>
      <c r="E28" s="4" t="s">
        <v>22</v>
      </c>
      <c r="F28" s="3" t="s">
        <v>23</v>
      </c>
      <c r="G28" s="5" t="n">
        <v>46266</v>
      </c>
      <c r="H28" s="5" t="n">
        <v>46295</v>
      </c>
      <c r="I28" s="5"/>
      <c r="J28" s="3"/>
      <c r="K28" s="3" t="str">
        <f aca="false">IF(I28="","",IF(I28&lt;=H28,"Yes","No"))</f>
        <v/>
      </c>
      <c r="L28" s="3"/>
      <c r="M28" s="3"/>
      <c r="N28" s="3"/>
      <c r="O28" s="6" t="n">
        <v>4400</v>
      </c>
      <c r="P28" s="6"/>
      <c r="Q28" s="7" t="str">
        <f aca="false">IFERROR(IF(OR(O28="",O28=0),"",P28/O28),"")</f>
        <v>0%</v>
      </c>
    </row>
    <row r="29" customFormat="false" ht="14.25" hidden="false" customHeight="true" outlineLevel="0" collapsed="false">
      <c r="A29" s="3" t="s">
        <v>18</v>
      </c>
      <c r="B29" s="3" t="s">
        <v>25</v>
      </c>
      <c r="C29" s="4" t="s">
        <v>42</v>
      </c>
      <c r="D29" s="3" t="s">
        <v>21</v>
      </c>
      <c r="E29" s="4" t="s">
        <v>22</v>
      </c>
      <c r="F29" s="3" t="s">
        <v>23</v>
      </c>
      <c r="G29" s="5" t="n">
        <v>46266</v>
      </c>
      <c r="H29" s="5" t="n">
        <v>46295</v>
      </c>
      <c r="I29" s="5"/>
      <c r="J29" s="3"/>
      <c r="K29" s="3" t="str">
        <f aca="false">IF(I29="","",IF(I29&lt;=H29,"Yes","No"))</f>
        <v/>
      </c>
      <c r="L29" s="3"/>
      <c r="M29" s="3"/>
      <c r="N29" s="3"/>
      <c r="O29" s="6" t="n">
        <v>2200</v>
      </c>
      <c r="P29" s="6"/>
      <c r="Q29" s="7" t="str">
        <f aca="false">IFERROR(IF(OR(O29="",O29=0),"",P29/O29),"")</f>
        <v>0%</v>
      </c>
    </row>
    <row r="30" customFormat="false" ht="14.25" hidden="false" customHeight="true" outlineLevel="0" collapsed="false">
      <c r="A30" s="3" t="s">
        <v>18</v>
      </c>
      <c r="B30" s="3" t="s">
        <v>27</v>
      </c>
      <c r="C30" s="4" t="s">
        <v>42</v>
      </c>
      <c r="D30" s="3" t="s">
        <v>21</v>
      </c>
      <c r="E30" s="4" t="s">
        <v>22</v>
      </c>
      <c r="F30" s="3" t="s">
        <v>28</v>
      </c>
      <c r="G30" s="5" t="n">
        <v>46266</v>
      </c>
      <c r="H30" s="5" t="n">
        <v>46295</v>
      </c>
      <c r="I30" s="5"/>
      <c r="J30" s="3"/>
      <c r="K30" s="3" t="str">
        <f aca="false">IF(I30="","",IF(I30&lt;=H30,"Yes","No"))</f>
        <v/>
      </c>
      <c r="L30" s="3"/>
      <c r="M30" s="3"/>
      <c r="N30" s="3"/>
      <c r="O30" s="6" t="n">
        <v>440</v>
      </c>
      <c r="P30" s="6"/>
      <c r="Q30" s="7" t="str">
        <f aca="false">IFERROR(IF(OR(O30="",O30=0),"",P30/O30),"")</f>
        <v>0%</v>
      </c>
    </row>
    <row r="31" customFormat="false" ht="14.25" hidden="false" customHeight="true" outlineLevel="0" collapsed="false">
      <c r="A31" s="3" t="s">
        <v>18</v>
      </c>
      <c r="B31" s="3" t="s">
        <v>43</v>
      </c>
      <c r="C31" s="4" t="s">
        <v>44</v>
      </c>
      <c r="D31" s="3" t="s">
        <v>21</v>
      </c>
      <c r="E31" s="4" t="s">
        <v>22</v>
      </c>
      <c r="F31" s="3" t="s">
        <v>23</v>
      </c>
      <c r="G31" s="5" t="n">
        <v>46266</v>
      </c>
      <c r="H31" s="5" t="n">
        <v>46295</v>
      </c>
      <c r="I31" s="5"/>
      <c r="J31" s="3"/>
      <c r="K31" s="3" t="str">
        <f aca="false">IF(I31="","",IF(I31&lt;=H31,"Yes","No"))</f>
        <v/>
      </c>
      <c r="L31" s="3"/>
      <c r="M31" s="3"/>
      <c r="N31" s="3"/>
      <c r="O31" s="6" t="n">
        <v>3300</v>
      </c>
      <c r="P31" s="6"/>
      <c r="Q31" s="7" t="str">
        <f aca="false">IFERROR(IF(OR(O31="",O31=0),"",P31/O31),"")</f>
        <v>0%</v>
      </c>
    </row>
    <row r="32" customFormat="false" ht="14.25" hidden="false" customHeight="true" outlineLevel="0" collapsed="false">
      <c r="A32" s="3" t="s">
        <v>18</v>
      </c>
      <c r="B32" s="3" t="s">
        <v>45</v>
      </c>
      <c r="C32" s="4" t="s">
        <v>44</v>
      </c>
      <c r="D32" s="3" t="s">
        <v>21</v>
      </c>
      <c r="E32" s="4" t="s">
        <v>22</v>
      </c>
      <c r="F32" s="3" t="s">
        <v>23</v>
      </c>
      <c r="G32" s="5" t="n">
        <v>46266</v>
      </c>
      <c r="H32" s="5" t="n">
        <v>46295</v>
      </c>
      <c r="I32" s="5"/>
      <c r="J32" s="3"/>
      <c r="K32" s="3" t="str">
        <f aca="false">IF(I32="","",IF(I32&lt;=H32,"Yes","No"))</f>
        <v/>
      </c>
      <c r="L32" s="3"/>
      <c r="M32" s="3"/>
      <c r="N32" s="3"/>
      <c r="O32" s="6" t="n">
        <v>1320</v>
      </c>
      <c r="P32" s="6"/>
      <c r="Q32" s="7" t="str">
        <f aca="false">IFERROR(IF(OR(O32="",O32=0),"",P32/O32),"")</f>
        <v>0%</v>
      </c>
    </row>
    <row r="33" customFormat="false" ht="14.25" hidden="false" customHeight="true" outlineLevel="0" collapsed="false">
      <c r="A33" s="3" t="s">
        <v>18</v>
      </c>
      <c r="B33" s="3" t="s">
        <v>46</v>
      </c>
      <c r="C33" s="4" t="s">
        <v>44</v>
      </c>
      <c r="D33" s="3" t="s">
        <v>21</v>
      </c>
      <c r="E33" s="4" t="s">
        <v>22</v>
      </c>
      <c r="F33" s="3" t="s">
        <v>28</v>
      </c>
      <c r="G33" s="5" t="n">
        <v>46266</v>
      </c>
      <c r="H33" s="5" t="n">
        <v>46295</v>
      </c>
      <c r="I33" s="5"/>
      <c r="J33" s="3"/>
      <c r="K33" s="3" t="str">
        <f aca="false">IF(I33="","",IF(I33&lt;=H33,"Yes","No"))</f>
        <v/>
      </c>
      <c r="L33" s="3"/>
      <c r="M33" s="3"/>
      <c r="N33" s="3"/>
      <c r="O33" s="6" t="n">
        <v>330</v>
      </c>
      <c r="P33" s="6"/>
      <c r="Q33" s="7" t="str">
        <f aca="false">IFERROR(IF(OR(O33="",O33=0),"",P33/O33),"")</f>
        <v>0%</v>
      </c>
    </row>
    <row r="34" customFormat="false" ht="14.25" hidden="false" customHeight="true" outlineLevel="0" collapsed="false">
      <c r="A34" s="3" t="s">
        <v>18</v>
      </c>
      <c r="B34" s="3" t="s">
        <v>47</v>
      </c>
      <c r="C34" s="4" t="s">
        <v>48</v>
      </c>
      <c r="D34" s="3" t="s">
        <v>21</v>
      </c>
      <c r="E34" s="4" t="s">
        <v>22</v>
      </c>
      <c r="F34" s="3" t="s">
        <v>23</v>
      </c>
      <c r="G34" s="5" t="n">
        <v>46266</v>
      </c>
      <c r="H34" s="5" t="n">
        <v>46295</v>
      </c>
      <c r="I34" s="5" t="n">
        <v>46295</v>
      </c>
      <c r="J34" s="3" t="s">
        <v>24</v>
      </c>
      <c r="K34" s="3" t="str">
        <f aca="false">IF(I34="","",IF(I34&lt;=H34,"Yes","No"))</f>
        <v>Yes</v>
      </c>
      <c r="L34" s="3"/>
      <c r="M34" s="3"/>
      <c r="N34" s="3"/>
      <c r="O34" s="6" t="n">
        <v>4180</v>
      </c>
      <c r="P34" s="6" t="n">
        <v>4000</v>
      </c>
      <c r="Q34" s="7" t="str">
        <f aca="false">IFERROR(IF(OR(O34="",O34=0),"",P34/O34),"")</f>
        <v>96%</v>
      </c>
    </row>
    <row r="35" customFormat="false" ht="14.25" hidden="false" customHeight="true" outlineLevel="0" collapsed="false">
      <c r="A35" s="3" t="s">
        <v>18</v>
      </c>
      <c r="B35" s="3" t="s">
        <v>49</v>
      </c>
      <c r="C35" s="4" t="s">
        <v>48</v>
      </c>
      <c r="D35" s="3" t="s">
        <v>21</v>
      </c>
      <c r="E35" s="4" t="s">
        <v>22</v>
      </c>
      <c r="F35" s="3" t="s">
        <v>23</v>
      </c>
      <c r="G35" s="5" t="n">
        <v>46266</v>
      </c>
      <c r="H35" s="5" t="n">
        <v>46295</v>
      </c>
      <c r="I35" s="5" t="n">
        <v>46295</v>
      </c>
      <c r="J35" s="3" t="s">
        <v>24</v>
      </c>
      <c r="K35" s="3" t="str">
        <f aca="false">IF(I35="","",IF(I35&lt;=H35,"Yes","No"))</f>
        <v>Yes</v>
      </c>
      <c r="L35" s="3"/>
      <c r="M35" s="3"/>
      <c r="N35" s="3"/>
      <c r="O35" s="6" t="n">
        <v>1881</v>
      </c>
      <c r="P35" s="6"/>
      <c r="Q35" s="7" t="str">
        <f aca="false">IFERROR(IF(OR(O35="",O35=0),"",P35/O35),"")</f>
        <v>0%</v>
      </c>
      <c r="R35" s="8" t="str">
        <f aca="false">96/3</f>
        <v>32</v>
      </c>
    </row>
    <row r="36" customFormat="false" ht="14.25" hidden="false" customHeight="true" outlineLevel="0" collapsed="false">
      <c r="A36" s="3" t="s">
        <v>18</v>
      </c>
      <c r="B36" s="3" t="s">
        <v>50</v>
      </c>
      <c r="C36" s="4" t="s">
        <v>48</v>
      </c>
      <c r="D36" s="3" t="s">
        <v>21</v>
      </c>
      <c r="E36" s="4" t="s">
        <v>22</v>
      </c>
      <c r="F36" s="3" t="s">
        <v>28</v>
      </c>
      <c r="G36" s="5" t="n">
        <v>46266</v>
      </c>
      <c r="H36" s="5" t="n">
        <v>46295</v>
      </c>
      <c r="I36" s="5" t="n">
        <v>46295</v>
      </c>
      <c r="J36" s="3" t="s">
        <v>24</v>
      </c>
      <c r="K36" s="3" t="str">
        <f aca="false">IF(I36="","",IF(I36&lt;=H36,"Yes","No"))</f>
        <v>Yes</v>
      </c>
      <c r="L36" s="3"/>
      <c r="M36" s="3"/>
      <c r="N36" s="3"/>
      <c r="O36" s="6" t="n">
        <v>410</v>
      </c>
      <c r="P36" s="6"/>
      <c r="Q36" s="7" t="str">
        <f aca="false">IFERROR(IF(OR(O36="",O36=0),"",P36/O36),"")</f>
        <v>0%</v>
      </c>
    </row>
    <row r="37" customFormat="false" ht="14.25" hidden="false" customHeight="true" outlineLevel="0" collapsed="false">
      <c r="A37" s="3" t="s">
        <v>18</v>
      </c>
      <c r="B37" s="3" t="s">
        <v>43</v>
      </c>
      <c r="C37" s="4" t="s">
        <v>51</v>
      </c>
      <c r="D37" s="3" t="s">
        <v>21</v>
      </c>
      <c r="E37" s="4" t="s">
        <v>22</v>
      </c>
      <c r="F37" s="3" t="s">
        <v>23</v>
      </c>
      <c r="G37" s="5" t="n">
        <v>46266</v>
      </c>
      <c r="H37" s="5" t="n">
        <v>46295</v>
      </c>
      <c r="I37" s="5" t="n">
        <v>46295</v>
      </c>
      <c r="J37" s="3" t="s">
        <v>24</v>
      </c>
      <c r="K37" s="3" t="str">
        <f aca="false">IF(I37="","",IF(I37&lt;=H37,"Yes","No"))</f>
        <v>Yes</v>
      </c>
      <c r="L37" s="3"/>
      <c r="M37" s="3"/>
      <c r="N37" s="3"/>
      <c r="O37" s="6" t="n">
        <v>3300</v>
      </c>
      <c r="P37" s="6"/>
      <c r="Q37" s="7" t="str">
        <f aca="false">IFERROR(IF(OR(O37="",O37=0),"",P37/O37),"")</f>
        <v>0%</v>
      </c>
    </row>
    <row r="38" customFormat="false" ht="14.25" hidden="false" customHeight="true" outlineLevel="0" collapsed="false">
      <c r="A38" s="3" t="s">
        <v>18</v>
      </c>
      <c r="B38" s="3" t="s">
        <v>45</v>
      </c>
      <c r="C38" s="4" t="s">
        <v>51</v>
      </c>
      <c r="D38" s="3" t="s">
        <v>21</v>
      </c>
      <c r="E38" s="4" t="s">
        <v>22</v>
      </c>
      <c r="F38" s="3" t="s">
        <v>23</v>
      </c>
      <c r="G38" s="5" t="n">
        <v>46266</v>
      </c>
      <c r="H38" s="5" t="n">
        <v>46295</v>
      </c>
      <c r="I38" s="5"/>
      <c r="J38" s="3"/>
      <c r="K38" s="3" t="str">
        <f aca="false">IF(I38="","",IF(I38&lt;=H38,"Yes","No"))</f>
        <v/>
      </c>
      <c r="L38" s="3"/>
      <c r="M38" s="3"/>
      <c r="N38" s="3"/>
      <c r="O38" s="6" t="n">
        <v>1320</v>
      </c>
      <c r="P38" s="6"/>
      <c r="Q38" s="7" t="str">
        <f aca="false">IFERROR(IF(OR(O38="",O38=0),"",P38/O38),"")</f>
        <v>0%</v>
      </c>
    </row>
    <row r="39" customFormat="false" ht="14.25" hidden="false" customHeight="true" outlineLevel="0" collapsed="false">
      <c r="A39" s="3" t="s">
        <v>18</v>
      </c>
      <c r="B39" s="3" t="s">
        <v>52</v>
      </c>
      <c r="C39" s="4" t="s">
        <v>51</v>
      </c>
      <c r="D39" s="3" t="s">
        <v>21</v>
      </c>
      <c r="E39" s="4" t="s">
        <v>22</v>
      </c>
      <c r="F39" s="3" t="s">
        <v>28</v>
      </c>
      <c r="G39" s="5" t="n">
        <v>46266</v>
      </c>
      <c r="H39" s="5" t="n">
        <v>46295</v>
      </c>
      <c r="I39" s="5"/>
      <c r="J39" s="3"/>
      <c r="K39" s="3" t="str">
        <f aca="false">IF(I39="","",IF(I39&lt;=H39,"Yes","No"))</f>
        <v/>
      </c>
      <c r="L39" s="3"/>
      <c r="M39" s="3"/>
      <c r="N39" s="3"/>
      <c r="O39" s="6" t="n">
        <v>300</v>
      </c>
      <c r="P39" s="6"/>
      <c r="Q39" s="7" t="str">
        <f aca="false">IFERROR(IF(OR(O39="",O39=0),"",P39/O39),"")</f>
        <v>0%</v>
      </c>
    </row>
    <row r="40" customFormat="false" ht="14.25" hidden="false" customHeight="true" outlineLevel="0" collapsed="false">
      <c r="A40" s="3" t="s">
        <v>18</v>
      </c>
      <c r="B40" s="3" t="s">
        <v>53</v>
      </c>
      <c r="C40" s="4" t="s">
        <v>22</v>
      </c>
      <c r="D40" s="4" t="s">
        <v>21</v>
      </c>
      <c r="E40" s="3" t="s">
        <v>54</v>
      </c>
      <c r="F40" s="3" t="s">
        <v>23</v>
      </c>
      <c r="G40" s="5" t="n">
        <v>46266</v>
      </c>
      <c r="H40" s="5" t="n">
        <v>46295</v>
      </c>
      <c r="I40" s="5" t="n">
        <v>46295</v>
      </c>
      <c r="J40" s="3" t="s">
        <v>24</v>
      </c>
      <c r="K40" s="3" t="str">
        <f aca="false">IF(I40="","",IF(I40&lt;=H40,"Yes","No"))</f>
        <v>Yes</v>
      </c>
      <c r="L40" s="3"/>
      <c r="M40" s="3"/>
      <c r="N40" s="3"/>
      <c r="O40" s="6" t="n">
        <v>49808</v>
      </c>
      <c r="P40" s="4" t="n">
        <v>50000</v>
      </c>
      <c r="Q40" s="7" t="str">
        <f aca="false">IFERROR(IF(OR(O40="",O40=0),"",P40/O40),"")</f>
        <v>100%</v>
      </c>
    </row>
    <row r="41" customFormat="false" ht="14.25" hidden="false" customHeight="true" outlineLevel="0" collapsed="false">
      <c r="A41" s="3" t="s">
        <v>18</v>
      </c>
      <c r="B41" s="3" t="s">
        <v>55</v>
      </c>
      <c r="C41" s="4" t="s">
        <v>22</v>
      </c>
      <c r="D41" s="4" t="s">
        <v>21</v>
      </c>
      <c r="E41" s="3" t="s">
        <v>54</v>
      </c>
      <c r="F41" s="3" t="s">
        <v>23</v>
      </c>
      <c r="G41" s="5" t="n">
        <v>46266</v>
      </c>
      <c r="H41" s="5" t="n">
        <v>46295</v>
      </c>
      <c r="I41" s="5" t="n">
        <v>46295</v>
      </c>
      <c r="J41" s="3" t="s">
        <v>24</v>
      </c>
      <c r="K41" s="3" t="str">
        <f aca="false">IF(I41="","",IF(I41&lt;=H41,"Yes","No"))</f>
        <v>Yes</v>
      </c>
      <c r="L41" s="3"/>
      <c r="M41" s="3"/>
      <c r="N41" s="3"/>
      <c r="O41" s="6" t="n">
        <v>23639</v>
      </c>
      <c r="P41" s="4" t="n">
        <v>25000</v>
      </c>
      <c r="Q41" s="7" t="str">
        <f aca="false">IFERROR(IF(OR(O41="",O41=0),"",P41/O41),"")</f>
        <v>106%</v>
      </c>
    </row>
    <row r="42" customFormat="false" ht="14.25" hidden="false" customHeight="true" outlineLevel="0" collapsed="false">
      <c r="A42" s="3" t="s">
        <v>18</v>
      </c>
      <c r="B42" s="3" t="s">
        <v>56</v>
      </c>
      <c r="C42" s="4" t="s">
        <v>22</v>
      </c>
      <c r="D42" s="4" t="s">
        <v>21</v>
      </c>
      <c r="E42" s="3" t="s">
        <v>54</v>
      </c>
      <c r="F42" s="3" t="s">
        <v>28</v>
      </c>
      <c r="G42" s="5" t="n">
        <v>46266</v>
      </c>
      <c r="H42" s="5" t="n">
        <v>46295</v>
      </c>
      <c r="I42" s="5" t="n">
        <v>46295</v>
      </c>
      <c r="J42" s="3" t="s">
        <v>24</v>
      </c>
      <c r="K42" s="3" t="str">
        <f aca="false">IF(I42="","",IF(I42&lt;=H42,"Yes","No"))</f>
        <v>Yes</v>
      </c>
      <c r="L42" s="3"/>
      <c r="M42" s="3"/>
      <c r="N42" s="3"/>
      <c r="O42" s="6" t="n">
        <v>4910</v>
      </c>
      <c r="P42" s="4" t="n">
        <v>7000</v>
      </c>
      <c r="Q42" s="7" t="str">
        <f aca="false">IFERROR(IF(OR(O42="",O42=0),"",P42/O42),"")</f>
        <v>143%</v>
      </c>
    </row>
    <row r="43" customFormat="false" ht="14.25" hidden="false" customHeight="true" outlineLevel="0" collapsed="false">
      <c r="A43" s="3" t="s">
        <v>18</v>
      </c>
      <c r="B43" s="9" t="s">
        <v>57</v>
      </c>
      <c r="C43" s="4" t="s">
        <v>22</v>
      </c>
      <c r="D43" s="4" t="s">
        <v>21</v>
      </c>
      <c r="E43" s="3" t="s">
        <v>54</v>
      </c>
      <c r="F43" s="3" t="s">
        <v>28</v>
      </c>
      <c r="G43" s="5" t="n">
        <v>46266</v>
      </c>
      <c r="H43" s="5" t="n">
        <v>46295</v>
      </c>
      <c r="I43" s="5"/>
      <c r="J43" s="3"/>
      <c r="K43" s="3" t="str">
        <f aca="false">IF(I43="","",IF(I43&lt;=H43,"Yes","No"))</f>
        <v/>
      </c>
      <c r="L43" s="3"/>
      <c r="M43" s="3"/>
      <c r="N43" s="3"/>
      <c r="O43" s="6" t="s">
        <v>58</v>
      </c>
      <c r="P43" s="4"/>
      <c r="Q43" s="7" t="str">
        <f aca="false">IFERROR(IF(OR(O43="",O43=0),"",P43/O43),"")</f>
        <v/>
      </c>
    </row>
    <row r="44" customFormat="false" ht="14.25" hidden="false" customHeight="true" outlineLevel="0" collapsed="false">
      <c r="A44" s="3" t="s">
        <v>18</v>
      </c>
      <c r="B44" s="3" t="s">
        <v>59</v>
      </c>
      <c r="C44" s="3" t="s">
        <v>60</v>
      </c>
      <c r="D44" s="4" t="s">
        <v>21</v>
      </c>
      <c r="E44" s="4" t="s">
        <v>54</v>
      </c>
      <c r="F44" s="10" t="s">
        <v>28</v>
      </c>
      <c r="G44" s="5" t="n">
        <v>46266</v>
      </c>
      <c r="H44" s="5" t="n">
        <v>46295</v>
      </c>
      <c r="I44" s="5"/>
      <c r="J44" s="3"/>
      <c r="K44" s="3" t="str">
        <f aca="false">IF(I44="","",IF(I44&lt;=H44,"Yes","No"))</f>
        <v/>
      </c>
      <c r="L44" s="3"/>
      <c r="M44" s="3"/>
      <c r="N44" s="3"/>
      <c r="O44" s="11" t="n">
        <v>4080</v>
      </c>
      <c r="P44" s="11"/>
      <c r="Q44" s="7" t="str">
        <f aca="false">IFERROR(IF(OR(O44="",O44=0),"",P44/O44),"")</f>
        <v>0%</v>
      </c>
    </row>
    <row r="45" customFormat="false" ht="14.25" hidden="false" customHeight="true" outlineLevel="0" collapsed="false">
      <c r="A45" s="3" t="s">
        <v>18</v>
      </c>
      <c r="B45" s="3" t="s">
        <v>61</v>
      </c>
      <c r="C45" s="3" t="s">
        <v>60</v>
      </c>
      <c r="D45" s="4" t="s">
        <v>21</v>
      </c>
      <c r="E45" s="4" t="s">
        <v>54</v>
      </c>
      <c r="F45" s="10" t="s">
        <v>28</v>
      </c>
      <c r="G45" s="5" t="n">
        <v>46266</v>
      </c>
      <c r="H45" s="5" t="n">
        <v>46295</v>
      </c>
      <c r="I45" s="5"/>
      <c r="J45" s="3"/>
      <c r="K45" s="3" t="str">
        <f aca="false">IF(I45="","",IF(I45&lt;=H45,"Yes","No"))</f>
        <v/>
      </c>
      <c r="L45" s="3"/>
      <c r="M45" s="3"/>
      <c r="N45" s="3"/>
      <c r="O45" s="11" t="n">
        <v>1980</v>
      </c>
      <c r="P45" s="11"/>
      <c r="Q45" s="7" t="str">
        <f aca="false">IFERROR(IF(OR(O45="",O45=0),"",P45/O45),"")</f>
        <v>0%</v>
      </c>
    </row>
    <row r="46" customFormat="false" ht="14.25" hidden="false" customHeight="true" outlineLevel="0" collapsed="false">
      <c r="A46" s="3" t="s">
        <v>18</v>
      </c>
      <c r="B46" s="3" t="s">
        <v>62</v>
      </c>
      <c r="C46" s="3" t="s">
        <v>60</v>
      </c>
      <c r="D46" s="4" t="s">
        <v>21</v>
      </c>
      <c r="E46" s="4" t="s">
        <v>54</v>
      </c>
      <c r="F46" s="10" t="s">
        <v>28</v>
      </c>
      <c r="G46" s="5" t="n">
        <v>46266</v>
      </c>
      <c r="H46" s="5" t="n">
        <v>46295</v>
      </c>
      <c r="I46" s="5"/>
      <c r="J46" s="3"/>
      <c r="K46" s="3" t="str">
        <f aca="false">IF(I46="","",IF(I46&lt;=H46,"Yes","No"))</f>
        <v/>
      </c>
      <c r="L46" s="3"/>
      <c r="M46" s="3"/>
      <c r="N46" s="3"/>
      <c r="O46" s="11" t="n">
        <v>350</v>
      </c>
      <c r="P46" s="11"/>
      <c r="Q46" s="7" t="str">
        <f aca="false">IFERROR(IF(OR(O46="",O46=0),"",P46/O46),"")</f>
        <v>0%</v>
      </c>
    </row>
    <row r="47" customFormat="false" ht="14.25" hidden="false" customHeight="true" outlineLevel="0" collapsed="false">
      <c r="A47" s="3" t="s">
        <v>18</v>
      </c>
      <c r="B47" s="3" t="s">
        <v>63</v>
      </c>
      <c r="C47" s="3" t="s">
        <v>64</v>
      </c>
      <c r="D47" s="4" t="s">
        <v>21</v>
      </c>
      <c r="E47" s="3" t="s">
        <v>60</v>
      </c>
      <c r="F47" s="12" t="s">
        <v>28</v>
      </c>
      <c r="G47" s="5" t="n">
        <v>46266</v>
      </c>
      <c r="H47" s="5" t="n">
        <v>46295</v>
      </c>
      <c r="I47" s="5"/>
      <c r="J47" s="4"/>
      <c r="K47" s="4" t="str">
        <f aca="false">IF(I47="","",IF(I47&lt;=H47,"Yes","No"))</f>
        <v/>
      </c>
      <c r="L47" s="4"/>
      <c r="M47" s="4"/>
      <c r="N47" s="4"/>
      <c r="O47" s="6" t="n">
        <v>2420</v>
      </c>
      <c r="P47" s="11"/>
      <c r="Q47" s="7" t="str">
        <f aca="false">IFERROR(IF(OR(O47="",O47=0),"",P47/O47),"")</f>
        <v>0%</v>
      </c>
    </row>
    <row r="48" customFormat="false" ht="14.25" hidden="false" customHeight="true" outlineLevel="0" collapsed="false">
      <c r="A48" s="3" t="s">
        <v>18</v>
      </c>
      <c r="B48" s="3" t="s">
        <v>65</v>
      </c>
      <c r="C48" s="3" t="s">
        <v>64</v>
      </c>
      <c r="D48" s="4" t="s">
        <v>21</v>
      </c>
      <c r="E48" s="3" t="s">
        <v>60</v>
      </c>
      <c r="F48" s="12" t="s">
        <v>28</v>
      </c>
      <c r="G48" s="5" t="n">
        <v>46266</v>
      </c>
      <c r="H48" s="5" t="n">
        <v>46295</v>
      </c>
      <c r="I48" s="5"/>
      <c r="J48" s="4"/>
      <c r="K48" s="4" t="str">
        <f aca="false">IF(I48="","",IF(I48&lt;=H48,"Yes","No"))</f>
        <v/>
      </c>
      <c r="L48" s="4"/>
      <c r="M48" s="4"/>
      <c r="N48" s="4"/>
      <c r="O48" s="6" t="n">
        <v>1100</v>
      </c>
      <c r="P48" s="11"/>
      <c r="Q48" s="7" t="str">
        <f aca="false">IFERROR(IF(OR(O48="",O48=0),"",P48/O48),"")</f>
        <v>0%</v>
      </c>
    </row>
    <row r="49" customFormat="false" ht="14.25" hidden="false" customHeight="true" outlineLevel="0" collapsed="false">
      <c r="A49" s="3" t="s">
        <v>18</v>
      </c>
      <c r="B49" s="3" t="s">
        <v>66</v>
      </c>
      <c r="C49" s="3" t="s">
        <v>64</v>
      </c>
      <c r="D49" s="4" t="s">
        <v>21</v>
      </c>
      <c r="E49" s="3" t="s">
        <v>60</v>
      </c>
      <c r="F49" s="12" t="s">
        <v>28</v>
      </c>
      <c r="G49" s="5" t="n">
        <v>46266</v>
      </c>
      <c r="H49" s="5" t="n">
        <v>46295</v>
      </c>
      <c r="I49" s="5"/>
      <c r="J49" s="4"/>
      <c r="K49" s="4" t="str">
        <f aca="false">IF(I49="","",IF(I49&lt;=H49,"Yes","No"))</f>
        <v/>
      </c>
      <c r="L49" s="4"/>
      <c r="M49" s="4"/>
      <c r="N49" s="4"/>
      <c r="O49" s="6" t="n">
        <v>330</v>
      </c>
      <c r="P49" s="6"/>
      <c r="Q49" s="7" t="str">
        <f aca="false">IFERROR(IF(OR(O49="",O49=0),"",P49/O49),"")</f>
        <v>0%</v>
      </c>
    </row>
    <row r="50" customFormat="false" ht="14.25" hidden="false" customHeight="true" outlineLevel="0" collapsed="false">
      <c r="A50" s="10" t="s">
        <v>18</v>
      </c>
      <c r="B50" s="10" t="s">
        <v>67</v>
      </c>
      <c r="C50" s="12" t="s">
        <v>68</v>
      </c>
      <c r="D50" s="10" t="s">
        <v>21</v>
      </c>
      <c r="E50" s="10" t="s">
        <v>54</v>
      </c>
      <c r="F50" s="10" t="s">
        <v>28</v>
      </c>
      <c r="G50" s="5" t="n">
        <v>46266</v>
      </c>
      <c r="H50" s="5" t="n">
        <v>46295</v>
      </c>
      <c r="I50" s="5"/>
      <c r="J50" s="4"/>
      <c r="K50" s="4" t="str">
        <f aca="false">IF(I50="","",IF(I50&lt;=H50,"Yes","No"))</f>
        <v/>
      </c>
      <c r="L50" s="4"/>
      <c r="M50" s="4"/>
      <c r="N50" s="4"/>
      <c r="O50" s="6" t="n">
        <v>4642</v>
      </c>
      <c r="P50" s="6"/>
      <c r="Q50" s="7" t="str">
        <f aca="false">IFERROR(IF(OR(O50="",O50=0),"",P50/O50),"")</f>
        <v>0%</v>
      </c>
    </row>
    <row r="51" customFormat="false" ht="14.25" hidden="false" customHeight="true" outlineLevel="0" collapsed="false">
      <c r="A51" s="10" t="s">
        <v>18</v>
      </c>
      <c r="B51" s="10" t="s">
        <v>69</v>
      </c>
      <c r="C51" s="12" t="s">
        <v>68</v>
      </c>
      <c r="D51" s="10" t="s">
        <v>21</v>
      </c>
      <c r="E51" s="10" t="s">
        <v>54</v>
      </c>
      <c r="F51" s="10" t="s">
        <v>28</v>
      </c>
      <c r="G51" s="5" t="n">
        <v>46266</v>
      </c>
      <c r="H51" s="5" t="n">
        <v>46295</v>
      </c>
      <c r="I51" s="5"/>
      <c r="J51" s="4"/>
      <c r="K51" s="4" t="str">
        <f aca="false">IF(I51="","",IF(I51&lt;=H51,"Yes","No"))</f>
        <v/>
      </c>
      <c r="L51" s="4"/>
      <c r="M51" s="4"/>
      <c r="N51" s="4"/>
      <c r="O51" s="6" t="n">
        <v>2332</v>
      </c>
      <c r="P51" s="6"/>
      <c r="Q51" s="7" t="str">
        <f aca="false">IFERROR(IF(OR(O51="",O51=0),"",P51/O51),"")</f>
        <v>0%</v>
      </c>
    </row>
    <row r="52" customFormat="false" ht="14.25" hidden="false" customHeight="true" outlineLevel="0" collapsed="false">
      <c r="A52" s="10" t="s">
        <v>18</v>
      </c>
      <c r="B52" s="10" t="s">
        <v>70</v>
      </c>
      <c r="C52" s="12" t="s">
        <v>68</v>
      </c>
      <c r="D52" s="10" t="s">
        <v>21</v>
      </c>
      <c r="E52" s="10" t="s">
        <v>54</v>
      </c>
      <c r="F52" s="10" t="s">
        <v>28</v>
      </c>
      <c r="G52" s="5" t="n">
        <v>46266</v>
      </c>
      <c r="H52" s="5" t="n">
        <v>46295</v>
      </c>
      <c r="I52" s="5"/>
      <c r="J52" s="4"/>
      <c r="K52" s="4" t="str">
        <f aca="false">IF(I52="","",IF(I52&lt;=H52,"Yes","No"))</f>
        <v/>
      </c>
      <c r="L52" s="4"/>
      <c r="M52" s="4"/>
      <c r="N52" s="4"/>
      <c r="O52" s="6" t="n">
        <v>264</v>
      </c>
      <c r="P52" s="6"/>
      <c r="Q52" s="7" t="str">
        <f aca="false">IFERROR(IF(OR(O52="",O52=0),"",P52/O52),"")</f>
        <v>0%</v>
      </c>
    </row>
    <row r="53" customFormat="false" ht="25.5" hidden="false" customHeight="true" outlineLevel="0" collapsed="false">
      <c r="A53" s="10" t="s">
        <v>18</v>
      </c>
      <c r="B53" s="13" t="s">
        <v>71</v>
      </c>
      <c r="C53" s="12" t="s">
        <v>68</v>
      </c>
      <c r="D53" s="10" t="s">
        <v>21</v>
      </c>
      <c r="E53" s="10" t="s">
        <v>54</v>
      </c>
      <c r="F53" s="10" t="s">
        <v>23</v>
      </c>
      <c r="G53" s="5" t="n">
        <v>46266</v>
      </c>
      <c r="H53" s="5" t="n">
        <v>46295</v>
      </c>
      <c r="I53" s="5"/>
      <c r="J53" s="4"/>
      <c r="K53" s="4" t="str">
        <f aca="false">IF(I53="","",IF(I53&lt;=H53,"Yes","No"))</f>
        <v/>
      </c>
      <c r="L53" s="4"/>
      <c r="M53" s="4"/>
      <c r="N53" s="4"/>
      <c r="O53" s="6" t="s">
        <v>58</v>
      </c>
      <c r="P53" s="6"/>
      <c r="Q53" s="7" t="str">
        <f aca="false">IFERROR(IF(OR(O53="",O53=0),"",P53/O53),"")</f>
        <v/>
      </c>
    </row>
    <row r="54" customFormat="false" ht="14.25" hidden="false" customHeight="true" outlineLevel="0" collapsed="false">
      <c r="A54" s="10" t="s">
        <v>18</v>
      </c>
      <c r="B54" s="10" t="s">
        <v>72</v>
      </c>
      <c r="C54" s="10" t="s">
        <v>73</v>
      </c>
      <c r="D54" s="10" t="s">
        <v>21</v>
      </c>
      <c r="E54" s="12" t="s">
        <v>68</v>
      </c>
      <c r="F54" s="10" t="s">
        <v>28</v>
      </c>
      <c r="G54" s="5" t="n">
        <v>46266</v>
      </c>
      <c r="H54" s="5" t="n">
        <v>46295</v>
      </c>
      <c r="I54" s="5"/>
      <c r="J54" s="4"/>
      <c r="K54" s="4" t="str">
        <f aca="false">IF(I54="","",IF(I54&lt;=H54,"Yes","No"))</f>
        <v/>
      </c>
      <c r="L54" s="4"/>
      <c r="M54" s="4"/>
      <c r="N54" s="4"/>
      <c r="O54" s="11" t="n">
        <v>3000</v>
      </c>
      <c r="P54" s="11"/>
      <c r="Q54" s="7" t="str">
        <f aca="false">IFERROR(IF(OR(O54="",O54=0),"",P54/O54),"")</f>
        <v>0%</v>
      </c>
    </row>
    <row r="55" customFormat="false" ht="14.25" hidden="false" customHeight="true" outlineLevel="0" collapsed="false">
      <c r="A55" s="10" t="s">
        <v>18</v>
      </c>
      <c r="B55" s="10" t="s">
        <v>74</v>
      </c>
      <c r="C55" s="10" t="s">
        <v>73</v>
      </c>
      <c r="D55" s="10" t="s">
        <v>21</v>
      </c>
      <c r="E55" s="12" t="s">
        <v>68</v>
      </c>
      <c r="F55" s="10" t="s">
        <v>28</v>
      </c>
      <c r="G55" s="5" t="n">
        <v>46266</v>
      </c>
      <c r="H55" s="5" t="n">
        <v>46295</v>
      </c>
      <c r="I55" s="5"/>
      <c r="J55" s="4"/>
      <c r="K55" s="4" t="str">
        <f aca="false">IF(I55="","",IF(I55&lt;=H55,"Yes","No"))</f>
        <v/>
      </c>
      <c r="L55" s="4"/>
      <c r="M55" s="4"/>
      <c r="N55" s="4"/>
      <c r="O55" s="11" t="n">
        <v>1800</v>
      </c>
      <c r="P55" s="11"/>
      <c r="Q55" s="7" t="str">
        <f aca="false">IFERROR(IF(OR(O55="",O55=0),"",P55/O55),"")</f>
        <v>0%</v>
      </c>
    </row>
    <row r="56" customFormat="false" ht="14.25" hidden="false" customHeight="true" outlineLevel="0" collapsed="false">
      <c r="A56" s="10" t="s">
        <v>18</v>
      </c>
      <c r="B56" s="10" t="s">
        <v>75</v>
      </c>
      <c r="C56" s="10" t="s">
        <v>73</v>
      </c>
      <c r="D56" s="10" t="s">
        <v>21</v>
      </c>
      <c r="E56" s="12" t="s">
        <v>68</v>
      </c>
      <c r="F56" s="10" t="s">
        <v>28</v>
      </c>
      <c r="G56" s="5" t="n">
        <v>46266</v>
      </c>
      <c r="H56" s="5" t="n">
        <v>46295</v>
      </c>
      <c r="I56" s="5"/>
      <c r="J56" s="4"/>
      <c r="K56" s="4" t="str">
        <f aca="false">IF(I56="","",IF(I56&lt;=H56,"Yes","No"))</f>
        <v/>
      </c>
      <c r="L56" s="4"/>
      <c r="M56" s="4"/>
      <c r="N56" s="4"/>
      <c r="O56" s="11" t="n">
        <v>250</v>
      </c>
      <c r="P56" s="11"/>
      <c r="Q56" s="7" t="str">
        <f aca="false">IFERROR(IF(OR(O56="",O56=0),"",P56/O56),"")</f>
        <v>0%</v>
      </c>
    </row>
    <row r="57" customFormat="false" ht="14.25" hidden="false" customHeight="true" outlineLevel="0" collapsed="false">
      <c r="A57" s="14" t="s">
        <v>18</v>
      </c>
      <c r="B57" s="14" t="s">
        <v>76</v>
      </c>
      <c r="C57" s="9" t="s">
        <v>77</v>
      </c>
      <c r="D57" s="14" t="s">
        <v>21</v>
      </c>
      <c r="E57" s="14" t="s">
        <v>78</v>
      </c>
      <c r="F57" s="14" t="s">
        <v>23</v>
      </c>
      <c r="G57" s="15" t="n">
        <v>46266</v>
      </c>
      <c r="H57" s="15" t="n">
        <v>46295</v>
      </c>
      <c r="I57" s="15"/>
      <c r="J57" s="4"/>
      <c r="K57" s="4"/>
      <c r="L57" s="4"/>
      <c r="M57" s="4"/>
      <c r="N57" s="4"/>
      <c r="O57" s="16" t="n">
        <v>4070</v>
      </c>
      <c r="P57" s="4"/>
      <c r="Q57" s="7" t="str">
        <f aca="false">IFERROR(IF(OR(O57="",O57=0),"",P57/O57),"")</f>
        <v>0%</v>
      </c>
    </row>
    <row r="58" customFormat="false" ht="14.25" hidden="false" customHeight="true" outlineLevel="0" collapsed="false">
      <c r="A58" s="14" t="s">
        <v>18</v>
      </c>
      <c r="B58" s="14" t="s">
        <v>79</v>
      </c>
      <c r="C58" s="9" t="s">
        <v>77</v>
      </c>
      <c r="D58" s="14" t="s">
        <v>21</v>
      </c>
      <c r="E58" s="14" t="s">
        <v>78</v>
      </c>
      <c r="F58" s="14" t="s">
        <v>23</v>
      </c>
      <c r="G58" s="15" t="n">
        <v>46266</v>
      </c>
      <c r="H58" s="15" t="n">
        <v>46295</v>
      </c>
      <c r="I58" s="15"/>
      <c r="J58" s="4"/>
      <c r="K58" s="4"/>
      <c r="L58" s="4"/>
      <c r="M58" s="4"/>
      <c r="N58" s="4"/>
      <c r="O58" s="16" t="n">
        <v>3300</v>
      </c>
      <c r="P58" s="4"/>
      <c r="Q58" s="7" t="str">
        <f aca="false">IFERROR(IF(OR(O58="",O58=0),"",P58/O58),"")</f>
        <v>0%</v>
      </c>
    </row>
    <row r="59" customFormat="false" ht="14.25" hidden="false" customHeight="true" outlineLevel="0" collapsed="false">
      <c r="A59" s="14" t="s">
        <v>18</v>
      </c>
      <c r="B59" s="14" t="s">
        <v>80</v>
      </c>
      <c r="C59" s="9" t="s">
        <v>77</v>
      </c>
      <c r="D59" s="14" t="s">
        <v>21</v>
      </c>
      <c r="E59" s="14" t="s">
        <v>78</v>
      </c>
      <c r="F59" s="14" t="s">
        <v>28</v>
      </c>
      <c r="G59" s="15" t="n">
        <v>46266</v>
      </c>
      <c r="H59" s="15" t="n">
        <v>46295</v>
      </c>
      <c r="I59" s="15"/>
      <c r="J59" s="4"/>
      <c r="K59" s="4"/>
      <c r="L59" s="4"/>
      <c r="M59" s="4"/>
      <c r="N59" s="4"/>
      <c r="O59" s="16" t="n">
        <v>330</v>
      </c>
      <c r="P59" s="4"/>
      <c r="Q59" s="7" t="str">
        <f aca="false">IFERROR(IF(OR(O59="",O59=0),"",P59/O59),"")</f>
        <v>0%</v>
      </c>
    </row>
    <row r="60" customFormat="false" ht="14.25" hidden="false" customHeight="true" outlineLevel="0" collapsed="false">
      <c r="A60" s="14" t="s">
        <v>18</v>
      </c>
      <c r="B60" s="14" t="s">
        <v>81</v>
      </c>
      <c r="C60" s="9" t="s">
        <v>77</v>
      </c>
      <c r="D60" s="14" t="s">
        <v>21</v>
      </c>
      <c r="E60" s="14" t="s">
        <v>78</v>
      </c>
      <c r="F60" s="14" t="s">
        <v>28</v>
      </c>
      <c r="G60" s="15" t="n">
        <v>46266</v>
      </c>
      <c r="H60" s="15" t="n">
        <v>46295</v>
      </c>
      <c r="I60" s="15"/>
      <c r="J60" s="4"/>
      <c r="K60" s="4"/>
      <c r="L60" s="4"/>
      <c r="M60" s="4"/>
      <c r="N60" s="4"/>
      <c r="O60" s="16" t="s">
        <v>82</v>
      </c>
      <c r="P60" s="4"/>
      <c r="Q60" s="7" t="str">
        <f aca="false">IFERROR(IF(OR(O60="",O60=0),"",P60/O60),"")</f>
        <v/>
      </c>
    </row>
    <row r="61" customFormat="false" ht="14.25" hidden="false" customHeight="true" outlineLevel="0" collapsed="false">
      <c r="A61" s="3" t="s">
        <v>18</v>
      </c>
      <c r="B61" s="3" t="s">
        <v>76</v>
      </c>
      <c r="C61" s="4" t="s">
        <v>83</v>
      </c>
      <c r="D61" s="3" t="s">
        <v>21</v>
      </c>
      <c r="E61" s="3" t="s">
        <v>54</v>
      </c>
      <c r="F61" s="3" t="s">
        <v>23</v>
      </c>
      <c r="G61" s="5" t="n">
        <v>46266</v>
      </c>
      <c r="H61" s="5" t="n">
        <v>46295</v>
      </c>
      <c r="I61" s="4"/>
      <c r="J61" s="4"/>
      <c r="K61" s="4"/>
      <c r="L61" s="4"/>
      <c r="M61" s="4"/>
      <c r="N61" s="4"/>
      <c r="O61" s="6" t="n">
        <v>4070</v>
      </c>
      <c r="P61" s="4"/>
      <c r="Q61" s="7" t="str">
        <f aca="false">IFERROR(IF(OR(O61="",O61=0),"",P61/O61),"")</f>
        <v>0%</v>
      </c>
    </row>
    <row r="62" customFormat="false" ht="14.25" hidden="false" customHeight="true" outlineLevel="0" collapsed="false">
      <c r="A62" s="14" t="s">
        <v>18</v>
      </c>
      <c r="B62" s="14" t="s">
        <v>79</v>
      </c>
      <c r="C62" s="4" t="s">
        <v>83</v>
      </c>
      <c r="D62" s="14" t="s">
        <v>21</v>
      </c>
      <c r="E62" s="14" t="s">
        <v>54</v>
      </c>
      <c r="F62" s="14" t="s">
        <v>23</v>
      </c>
      <c r="G62" s="15" t="n">
        <v>46266</v>
      </c>
      <c r="H62" s="15" t="n">
        <v>46295</v>
      </c>
      <c r="I62" s="4"/>
      <c r="J62" s="4"/>
      <c r="K62" s="4"/>
      <c r="L62" s="4"/>
      <c r="M62" s="4"/>
      <c r="N62" s="4"/>
      <c r="O62" s="16" t="n">
        <v>3300</v>
      </c>
      <c r="P62" s="4"/>
      <c r="Q62" s="7" t="str">
        <f aca="false">IFERROR(IF(OR(O62="",O62=0),"",P62/O62),"")</f>
        <v>0%</v>
      </c>
    </row>
    <row r="63" customFormat="false" ht="14.25" hidden="false" customHeight="true" outlineLevel="0" collapsed="false">
      <c r="A63" s="14" t="s">
        <v>18</v>
      </c>
      <c r="B63" s="14" t="s">
        <v>80</v>
      </c>
      <c r="C63" s="4" t="s">
        <v>83</v>
      </c>
      <c r="D63" s="14" t="s">
        <v>21</v>
      </c>
      <c r="E63" s="14" t="s">
        <v>54</v>
      </c>
      <c r="F63" s="14" t="s">
        <v>28</v>
      </c>
      <c r="G63" s="15" t="n">
        <v>46266</v>
      </c>
      <c r="H63" s="15" t="n">
        <v>46295</v>
      </c>
      <c r="I63" s="4"/>
      <c r="J63" s="4"/>
      <c r="K63" s="4"/>
      <c r="L63" s="4"/>
      <c r="M63" s="4"/>
      <c r="N63" s="4"/>
      <c r="O63" s="16" t="n">
        <v>330</v>
      </c>
      <c r="P63" s="4"/>
      <c r="Q63" s="7" t="str">
        <f aca="false">IFERROR(IF(OR(O63="",O63=0),"",P63/O63),"")</f>
        <v>0%</v>
      </c>
    </row>
    <row r="64" customFormat="false" ht="14.25" hidden="false" customHeight="true" outlineLevel="0" collapsed="false">
      <c r="A64" s="14" t="s">
        <v>18</v>
      </c>
      <c r="B64" s="14" t="s">
        <v>81</v>
      </c>
      <c r="C64" s="4" t="s">
        <v>83</v>
      </c>
      <c r="D64" s="14" t="s">
        <v>21</v>
      </c>
      <c r="E64" s="14" t="s">
        <v>54</v>
      </c>
      <c r="F64" s="14" t="s">
        <v>28</v>
      </c>
      <c r="G64" s="15" t="n">
        <v>46266</v>
      </c>
      <c r="H64" s="15" t="n">
        <v>46295</v>
      </c>
      <c r="I64" s="4"/>
      <c r="J64" s="4"/>
      <c r="K64" s="4"/>
      <c r="L64" s="4"/>
      <c r="M64" s="4"/>
      <c r="N64" s="4"/>
      <c r="O64" s="16" t="s">
        <v>82</v>
      </c>
      <c r="P64" s="4"/>
      <c r="Q64" s="7" t="str">
        <f aca="false">IFERROR(IF(OR(O64="",O64=0),"",P64/O64),"")</f>
        <v/>
      </c>
    </row>
    <row r="65" customFormat="false" ht="14.25" hidden="false" customHeight="true" outlineLevel="0" collapsed="false">
      <c r="A65" s="14" t="s">
        <v>18</v>
      </c>
      <c r="B65" s="14" t="s">
        <v>43</v>
      </c>
      <c r="C65" s="9" t="s">
        <v>84</v>
      </c>
      <c r="D65" s="14" t="s">
        <v>21</v>
      </c>
      <c r="E65" s="14" t="s">
        <v>54</v>
      </c>
      <c r="F65" s="14" t="s">
        <v>23</v>
      </c>
      <c r="G65" s="15" t="n">
        <v>46266</v>
      </c>
      <c r="H65" s="15" t="n">
        <v>46295</v>
      </c>
      <c r="I65" s="15"/>
      <c r="J65" s="4"/>
      <c r="K65" s="4"/>
      <c r="L65" s="4"/>
      <c r="M65" s="4"/>
      <c r="N65" s="4"/>
      <c r="O65" s="16" t="n">
        <v>3300</v>
      </c>
      <c r="P65" s="4"/>
      <c r="Q65" s="7" t="str">
        <f aca="false">IFERROR(IF(OR(O65="",O65=0),"",P65/O65),"")</f>
        <v>0%</v>
      </c>
    </row>
    <row r="66" customFormat="false" ht="14.25" hidden="false" customHeight="true" outlineLevel="0" collapsed="false">
      <c r="A66" s="14" t="s">
        <v>18</v>
      </c>
      <c r="B66" s="14" t="s">
        <v>85</v>
      </c>
      <c r="C66" s="9" t="s">
        <v>84</v>
      </c>
      <c r="D66" s="14" t="s">
        <v>21</v>
      </c>
      <c r="E66" s="14" t="s">
        <v>54</v>
      </c>
      <c r="F66" s="14" t="s">
        <v>23</v>
      </c>
      <c r="G66" s="15" t="n">
        <v>46266</v>
      </c>
      <c r="H66" s="15" t="n">
        <v>46295</v>
      </c>
      <c r="I66" s="15"/>
      <c r="J66" s="4"/>
      <c r="K66" s="4"/>
      <c r="L66" s="4"/>
      <c r="M66" s="4"/>
      <c r="N66" s="4"/>
      <c r="O66" s="16" t="n">
        <v>2750</v>
      </c>
      <c r="P66" s="4"/>
      <c r="Q66" s="7" t="str">
        <f aca="false">IFERROR(IF(OR(O66="",O66=0),"",P66/O66),"")</f>
        <v>0%</v>
      </c>
    </row>
    <row r="67" customFormat="false" ht="14.25" hidden="false" customHeight="true" outlineLevel="0" collapsed="false">
      <c r="A67" s="14" t="s">
        <v>18</v>
      </c>
      <c r="B67" s="14" t="s">
        <v>86</v>
      </c>
      <c r="C67" s="9" t="s">
        <v>84</v>
      </c>
      <c r="D67" s="14" t="s">
        <v>21</v>
      </c>
      <c r="E67" s="14" t="s">
        <v>54</v>
      </c>
      <c r="F67" s="14" t="s">
        <v>28</v>
      </c>
      <c r="G67" s="15" t="n">
        <v>46266</v>
      </c>
      <c r="H67" s="15" t="n">
        <v>46295</v>
      </c>
      <c r="I67" s="15"/>
      <c r="J67" s="4"/>
      <c r="K67" s="4"/>
      <c r="L67" s="4"/>
      <c r="M67" s="4"/>
      <c r="N67" s="4"/>
      <c r="O67" s="16" t="n">
        <v>50</v>
      </c>
      <c r="P67" s="4"/>
      <c r="Q67" s="7" t="str">
        <f aca="false">IFERROR(IF(OR(O67="",O67=0),"",P67/O67),"")</f>
        <v>0%</v>
      </c>
    </row>
    <row r="68" customFormat="false" ht="14.25" hidden="false" customHeight="true" outlineLevel="0" collapsed="false">
      <c r="A68" s="14" t="s">
        <v>18</v>
      </c>
      <c r="B68" s="14" t="s">
        <v>87</v>
      </c>
      <c r="C68" s="9" t="s">
        <v>84</v>
      </c>
      <c r="D68" s="14" t="s">
        <v>21</v>
      </c>
      <c r="E68" s="14" t="s">
        <v>54</v>
      </c>
      <c r="F68" s="14" t="s">
        <v>28</v>
      </c>
      <c r="G68" s="15" t="n">
        <v>46266</v>
      </c>
      <c r="H68" s="15" t="n">
        <v>46295</v>
      </c>
      <c r="I68" s="15"/>
      <c r="J68" s="4"/>
      <c r="K68" s="4"/>
      <c r="L68" s="4"/>
      <c r="M68" s="4"/>
      <c r="N68" s="4"/>
      <c r="O68" s="16" t="s">
        <v>88</v>
      </c>
      <c r="P68" s="4"/>
      <c r="Q68" s="7" t="str">
        <f aca="false">IFERROR(IF(OR(O68="",O68=0),"",P68/O68),"")</f>
        <v/>
      </c>
    </row>
    <row r="69" customFormat="false" ht="14.25" hidden="false" customHeight="true" outlineLevel="0" collapsed="false">
      <c r="A69" s="14" t="s">
        <v>18</v>
      </c>
      <c r="B69" s="14" t="s">
        <v>43</v>
      </c>
      <c r="C69" s="9" t="s">
        <v>89</v>
      </c>
      <c r="D69" s="14" t="s">
        <v>21</v>
      </c>
      <c r="E69" s="14" t="s">
        <v>54</v>
      </c>
      <c r="F69" s="14" t="s">
        <v>23</v>
      </c>
      <c r="G69" s="15" t="n">
        <v>46266</v>
      </c>
      <c r="H69" s="15" t="n">
        <v>46295</v>
      </c>
      <c r="I69" s="15"/>
      <c r="J69" s="4"/>
      <c r="K69" s="4"/>
      <c r="L69" s="4"/>
      <c r="M69" s="4"/>
      <c r="N69" s="4"/>
      <c r="O69" s="16" t="n">
        <v>3300</v>
      </c>
      <c r="P69" s="4"/>
      <c r="Q69" s="7" t="str">
        <f aca="false">IFERROR(IF(OR(O69="",O69=0),"",P69/O69),"")</f>
        <v>0%</v>
      </c>
    </row>
    <row r="70" customFormat="false" ht="14.25" hidden="false" customHeight="true" outlineLevel="0" collapsed="false">
      <c r="A70" s="14" t="s">
        <v>18</v>
      </c>
      <c r="B70" s="14" t="s">
        <v>85</v>
      </c>
      <c r="C70" s="9" t="s">
        <v>89</v>
      </c>
      <c r="D70" s="14" t="s">
        <v>21</v>
      </c>
      <c r="E70" s="14" t="s">
        <v>54</v>
      </c>
      <c r="F70" s="14" t="s">
        <v>23</v>
      </c>
      <c r="G70" s="15" t="n">
        <v>46266</v>
      </c>
      <c r="H70" s="15" t="n">
        <v>46295</v>
      </c>
      <c r="I70" s="15"/>
      <c r="J70" s="4"/>
      <c r="K70" s="4"/>
      <c r="L70" s="4"/>
      <c r="M70" s="4"/>
      <c r="N70" s="4"/>
      <c r="O70" s="16" t="n">
        <v>2750</v>
      </c>
      <c r="P70" s="4"/>
      <c r="Q70" s="7" t="str">
        <f aca="false">IFERROR(IF(OR(O70="",O70=0),"",P70/O70),"")</f>
        <v>0%</v>
      </c>
    </row>
    <row r="71" customFormat="false" ht="14.25" hidden="false" customHeight="true" outlineLevel="0" collapsed="false">
      <c r="A71" s="14" t="s">
        <v>18</v>
      </c>
      <c r="B71" s="14" t="s">
        <v>86</v>
      </c>
      <c r="C71" s="9" t="s">
        <v>89</v>
      </c>
      <c r="D71" s="14" t="s">
        <v>21</v>
      </c>
      <c r="E71" s="14" t="s">
        <v>54</v>
      </c>
      <c r="F71" s="14" t="s">
        <v>28</v>
      </c>
      <c r="G71" s="15" t="n">
        <v>46266</v>
      </c>
      <c r="H71" s="15" t="n">
        <v>46295</v>
      </c>
      <c r="I71" s="15"/>
      <c r="J71" s="4"/>
      <c r="K71" s="4"/>
      <c r="L71" s="4"/>
      <c r="M71" s="4"/>
      <c r="N71" s="4"/>
      <c r="O71" s="16" t="n">
        <v>50</v>
      </c>
      <c r="P71" s="4"/>
      <c r="Q71" s="7" t="str">
        <f aca="false">IFERROR(IF(OR(O71="",O71=0),"",P71/O71),"")</f>
        <v>0%</v>
      </c>
    </row>
    <row r="72" customFormat="false" ht="14.25" hidden="false" customHeight="true" outlineLevel="0" collapsed="false">
      <c r="A72" s="14" t="s">
        <v>18</v>
      </c>
      <c r="B72" s="14" t="s">
        <v>87</v>
      </c>
      <c r="C72" s="9" t="s">
        <v>89</v>
      </c>
      <c r="D72" s="14" t="s">
        <v>21</v>
      </c>
      <c r="E72" s="14" t="s">
        <v>54</v>
      </c>
      <c r="F72" s="14" t="s">
        <v>28</v>
      </c>
      <c r="G72" s="15" t="n">
        <v>46266</v>
      </c>
      <c r="H72" s="15" t="n">
        <v>46295</v>
      </c>
      <c r="I72" s="15"/>
      <c r="J72" s="4"/>
      <c r="K72" s="4"/>
      <c r="L72" s="4"/>
      <c r="M72" s="4"/>
      <c r="N72" s="4"/>
      <c r="O72" s="16" t="s">
        <v>88</v>
      </c>
      <c r="P72" s="4"/>
      <c r="Q72" s="7" t="str">
        <f aca="false">IFERROR(IF(OR(O72="",O72=0),"",P72/O72),"")</f>
        <v/>
      </c>
    </row>
    <row r="73" customFormat="false" ht="14.25" hidden="false" customHeight="true" outlineLevel="0" collapsed="false">
      <c r="A73" s="14" t="s">
        <v>18</v>
      </c>
      <c r="B73" s="14" t="s">
        <v>43</v>
      </c>
      <c r="C73" s="9" t="s">
        <v>90</v>
      </c>
      <c r="D73" s="14" t="s">
        <v>21</v>
      </c>
      <c r="E73" s="14" t="s">
        <v>54</v>
      </c>
      <c r="F73" s="14" t="s">
        <v>23</v>
      </c>
      <c r="G73" s="15" t="n">
        <v>46266</v>
      </c>
      <c r="H73" s="15" t="n">
        <v>46295</v>
      </c>
      <c r="I73" s="4"/>
      <c r="J73" s="4"/>
      <c r="K73" s="4"/>
      <c r="L73" s="4"/>
      <c r="M73" s="4"/>
      <c r="N73" s="4"/>
      <c r="O73" s="16" t="n">
        <v>3300</v>
      </c>
      <c r="P73" s="4"/>
      <c r="Q73" s="7" t="str">
        <f aca="false">IFERROR(IF(OR(O73="",O73=0),"",P73/O73),"")</f>
        <v>0%</v>
      </c>
    </row>
    <row r="74" customFormat="false" ht="14.25" hidden="false" customHeight="true" outlineLevel="0" collapsed="false">
      <c r="A74" s="14" t="s">
        <v>18</v>
      </c>
      <c r="B74" s="14" t="s">
        <v>85</v>
      </c>
      <c r="C74" s="9" t="s">
        <v>90</v>
      </c>
      <c r="D74" s="14" t="s">
        <v>21</v>
      </c>
      <c r="E74" s="14" t="s">
        <v>54</v>
      </c>
      <c r="F74" s="14" t="s">
        <v>23</v>
      </c>
      <c r="G74" s="15" t="n">
        <v>46266</v>
      </c>
      <c r="H74" s="15" t="n">
        <v>46295</v>
      </c>
      <c r="I74" s="4"/>
      <c r="J74" s="4"/>
      <c r="K74" s="4"/>
      <c r="L74" s="4"/>
      <c r="M74" s="4"/>
      <c r="N74" s="4"/>
      <c r="O74" s="16" t="n">
        <v>2750</v>
      </c>
      <c r="P74" s="4"/>
      <c r="Q74" s="7" t="str">
        <f aca="false">IFERROR(IF(OR(O74="",O74=0),"",P74/O74),"")</f>
        <v>0%</v>
      </c>
    </row>
    <row r="75" customFormat="false" ht="14.25" hidden="false" customHeight="true" outlineLevel="0" collapsed="false">
      <c r="A75" s="14" t="s">
        <v>18</v>
      </c>
      <c r="B75" s="14" t="s">
        <v>86</v>
      </c>
      <c r="C75" s="9" t="s">
        <v>90</v>
      </c>
      <c r="D75" s="14" t="s">
        <v>21</v>
      </c>
      <c r="E75" s="14" t="s">
        <v>54</v>
      </c>
      <c r="F75" s="14" t="s">
        <v>28</v>
      </c>
      <c r="G75" s="15" t="n">
        <v>46266</v>
      </c>
      <c r="H75" s="15" t="n">
        <v>46295</v>
      </c>
      <c r="I75" s="4"/>
      <c r="J75" s="4"/>
      <c r="K75" s="4"/>
      <c r="L75" s="4"/>
      <c r="M75" s="4"/>
      <c r="N75" s="4"/>
      <c r="O75" s="16" t="n">
        <v>50</v>
      </c>
      <c r="P75" s="4"/>
      <c r="Q75" s="7" t="str">
        <f aca="false">IFERROR(IF(OR(O75="",O75=0),"",P75/O75),"")</f>
        <v>0%</v>
      </c>
    </row>
    <row r="76" customFormat="false" ht="14.25" hidden="false" customHeight="true" outlineLevel="0" collapsed="false">
      <c r="A76" s="14" t="s">
        <v>18</v>
      </c>
      <c r="B76" s="14" t="s">
        <v>87</v>
      </c>
      <c r="C76" s="9" t="s">
        <v>90</v>
      </c>
      <c r="D76" s="14" t="s">
        <v>21</v>
      </c>
      <c r="E76" s="14" t="s">
        <v>54</v>
      </c>
      <c r="F76" s="14" t="s">
        <v>28</v>
      </c>
      <c r="G76" s="15" t="n">
        <v>46266</v>
      </c>
      <c r="H76" s="15" t="n">
        <v>46295</v>
      </c>
      <c r="I76" s="4"/>
      <c r="J76" s="4"/>
      <c r="K76" s="4"/>
      <c r="L76" s="4"/>
      <c r="M76" s="4"/>
      <c r="N76" s="4"/>
      <c r="O76" s="16" t="s">
        <v>88</v>
      </c>
      <c r="P76" s="4"/>
      <c r="Q76" s="7" t="str">
        <f aca="false">IFERROR(IF(OR(O76="",O76=0),"",P76/O76),"")</f>
        <v/>
      </c>
    </row>
    <row r="77" customFormat="false" ht="14.25" hidden="false" customHeight="true" outlineLevel="0" collapsed="false">
      <c r="A77" s="3" t="s">
        <v>18</v>
      </c>
      <c r="B77" s="3" t="s">
        <v>43</v>
      </c>
      <c r="C77" s="4" t="s">
        <v>91</v>
      </c>
      <c r="D77" s="3" t="s">
        <v>21</v>
      </c>
      <c r="E77" s="3" t="s">
        <v>54</v>
      </c>
      <c r="F77" s="3" t="s">
        <v>23</v>
      </c>
      <c r="G77" s="5" t="n">
        <v>46266</v>
      </c>
      <c r="H77" s="5" t="n">
        <v>46295</v>
      </c>
      <c r="I77" s="4"/>
      <c r="J77" s="4"/>
      <c r="K77" s="4"/>
      <c r="L77" s="4"/>
      <c r="M77" s="4"/>
      <c r="N77" s="4"/>
      <c r="O77" s="6" t="n">
        <v>3300</v>
      </c>
      <c r="P77" s="4"/>
      <c r="Q77" s="7" t="str">
        <f aca="false">IFERROR(IF(OR(O77="",O77=0),"",P77/O77),"")</f>
        <v>0%</v>
      </c>
      <c r="R77" s="8"/>
    </row>
    <row r="78" customFormat="false" ht="14.25" hidden="false" customHeight="true" outlineLevel="0" collapsed="false">
      <c r="A78" s="3" t="s">
        <v>18</v>
      </c>
      <c r="B78" s="3" t="s">
        <v>92</v>
      </c>
      <c r="C78" s="4" t="s">
        <v>91</v>
      </c>
      <c r="D78" s="3" t="s">
        <v>21</v>
      </c>
      <c r="E78" s="3" t="s">
        <v>54</v>
      </c>
      <c r="F78" s="3" t="s">
        <v>23</v>
      </c>
      <c r="G78" s="5" t="n">
        <v>46266</v>
      </c>
      <c r="H78" s="5" t="n">
        <v>46295</v>
      </c>
      <c r="I78" s="4"/>
      <c r="J78" s="4"/>
      <c r="K78" s="4"/>
      <c r="L78" s="4"/>
      <c r="M78" s="4"/>
      <c r="N78" s="4"/>
      <c r="O78" s="6" t="n">
        <v>1980</v>
      </c>
      <c r="P78" s="4"/>
      <c r="Q78" s="7" t="str">
        <f aca="false">IFERROR(IF(OR(O78="",O78=0),"",P78/O78),"")</f>
        <v>0%</v>
      </c>
      <c r="R78" s="8"/>
    </row>
    <row r="79" customFormat="false" ht="14.25" hidden="false" customHeight="true" outlineLevel="0" collapsed="false">
      <c r="A79" s="3" t="s">
        <v>18</v>
      </c>
      <c r="B79" s="3" t="s">
        <v>93</v>
      </c>
      <c r="C79" s="4" t="s">
        <v>91</v>
      </c>
      <c r="D79" s="3" t="s">
        <v>21</v>
      </c>
      <c r="E79" s="3" t="s">
        <v>54</v>
      </c>
      <c r="F79" s="3" t="s">
        <v>28</v>
      </c>
      <c r="G79" s="5" t="n">
        <v>46266</v>
      </c>
      <c r="H79" s="5" t="n">
        <v>46295</v>
      </c>
      <c r="I79" s="4"/>
      <c r="J79" s="4"/>
      <c r="K79" s="4"/>
      <c r="L79" s="4"/>
      <c r="M79" s="4"/>
      <c r="N79" s="4"/>
      <c r="O79" s="6" t="n">
        <v>660</v>
      </c>
      <c r="P79" s="4"/>
      <c r="Q79" s="7" t="str">
        <f aca="false">IFERROR(IF(OR(O79="",O79=0),"",P79/O79),"")</f>
        <v>0%</v>
      </c>
      <c r="R79" s="8"/>
    </row>
    <row r="80" customFormat="false" ht="14.25" hidden="false" customHeight="true" outlineLevel="0" collapsed="false">
      <c r="A80" s="3" t="s">
        <v>18</v>
      </c>
      <c r="B80" s="3" t="s">
        <v>94</v>
      </c>
      <c r="C80" s="4" t="s">
        <v>91</v>
      </c>
      <c r="D80" s="3" t="s">
        <v>21</v>
      </c>
      <c r="E80" s="3" t="s">
        <v>54</v>
      </c>
      <c r="F80" s="3" t="s">
        <v>28</v>
      </c>
      <c r="G80" s="5" t="n">
        <v>46266</v>
      </c>
      <c r="H80" s="5" t="n">
        <v>46295</v>
      </c>
      <c r="I80" s="4"/>
      <c r="J80" s="4"/>
      <c r="K80" s="4"/>
      <c r="L80" s="4"/>
      <c r="M80" s="4"/>
      <c r="N80" s="4"/>
      <c r="O80" s="6" t="s">
        <v>95</v>
      </c>
      <c r="P80" s="4"/>
      <c r="Q80" s="7" t="str">
        <f aca="false">IFERROR(IF(OR(O80="",O80=0),"",P80/O80),"")</f>
        <v/>
      </c>
      <c r="R80" s="8"/>
    </row>
    <row r="81" customFormat="false" ht="14.25" hidden="false" customHeight="true" outlineLevel="0" collapsed="false">
      <c r="A81" s="3" t="s">
        <v>18</v>
      </c>
      <c r="B81" s="3" t="s">
        <v>43</v>
      </c>
      <c r="C81" s="4" t="s">
        <v>96</v>
      </c>
      <c r="D81" s="3" t="s">
        <v>21</v>
      </c>
      <c r="E81" s="3" t="s">
        <v>54</v>
      </c>
      <c r="F81" s="3" t="s">
        <v>23</v>
      </c>
      <c r="G81" s="5" t="n">
        <v>46266</v>
      </c>
      <c r="H81" s="5" t="n">
        <v>46295</v>
      </c>
      <c r="I81" s="4"/>
      <c r="J81" s="4"/>
      <c r="K81" s="4"/>
      <c r="L81" s="4"/>
      <c r="M81" s="4"/>
      <c r="N81" s="4"/>
      <c r="O81" s="6" t="n">
        <v>3300</v>
      </c>
      <c r="P81" s="4"/>
      <c r="Q81" s="7" t="str">
        <f aca="false">IFERROR(IF(OR(O81="",O81=0),"",P81/O81),"")</f>
        <v>0%</v>
      </c>
      <c r="R81" s="8"/>
    </row>
    <row r="82" customFormat="false" ht="14.25" hidden="false" customHeight="true" outlineLevel="0" collapsed="false">
      <c r="A82" s="3" t="s">
        <v>18</v>
      </c>
      <c r="B82" s="3" t="s">
        <v>92</v>
      </c>
      <c r="C82" s="4" t="s">
        <v>96</v>
      </c>
      <c r="D82" s="3" t="s">
        <v>21</v>
      </c>
      <c r="E82" s="3" t="s">
        <v>54</v>
      </c>
      <c r="F82" s="3" t="s">
        <v>23</v>
      </c>
      <c r="G82" s="5" t="n">
        <v>46266</v>
      </c>
      <c r="H82" s="5" t="n">
        <v>46295</v>
      </c>
      <c r="I82" s="4"/>
      <c r="J82" s="4"/>
      <c r="K82" s="4"/>
      <c r="L82" s="4"/>
      <c r="M82" s="4"/>
      <c r="N82" s="4"/>
      <c r="O82" s="6" t="n">
        <v>1980</v>
      </c>
      <c r="P82" s="4"/>
      <c r="Q82" s="7" t="str">
        <f aca="false">IFERROR(IF(OR(O82="",O82=0),"",P82/O82),"")</f>
        <v>0%</v>
      </c>
      <c r="R82" s="8"/>
    </row>
    <row r="83" customFormat="false" ht="14.25" hidden="false" customHeight="true" outlineLevel="0" collapsed="false">
      <c r="A83" s="3" t="s">
        <v>18</v>
      </c>
      <c r="B83" s="3" t="s">
        <v>93</v>
      </c>
      <c r="C83" s="4" t="s">
        <v>96</v>
      </c>
      <c r="D83" s="3" t="s">
        <v>21</v>
      </c>
      <c r="E83" s="3" t="s">
        <v>54</v>
      </c>
      <c r="F83" s="3" t="s">
        <v>28</v>
      </c>
      <c r="G83" s="5" t="n">
        <v>46266</v>
      </c>
      <c r="H83" s="5" t="n">
        <v>46295</v>
      </c>
      <c r="I83" s="4"/>
      <c r="J83" s="4"/>
      <c r="K83" s="4"/>
      <c r="L83" s="4"/>
      <c r="M83" s="4"/>
      <c r="N83" s="4"/>
      <c r="O83" s="6" t="n">
        <v>660</v>
      </c>
      <c r="P83" s="4"/>
      <c r="Q83" s="7" t="str">
        <f aca="false">IFERROR(IF(OR(O83="",O83=0),"",P83/O83),"")</f>
        <v>0%</v>
      </c>
      <c r="R83" s="8"/>
    </row>
    <row r="84" customFormat="false" ht="14.25" hidden="false" customHeight="true" outlineLevel="0" collapsed="false">
      <c r="A84" s="3" t="s">
        <v>18</v>
      </c>
      <c r="B84" s="3" t="s">
        <v>94</v>
      </c>
      <c r="C84" s="4" t="s">
        <v>96</v>
      </c>
      <c r="D84" s="3" t="s">
        <v>21</v>
      </c>
      <c r="E84" s="3" t="s">
        <v>54</v>
      </c>
      <c r="F84" s="3" t="s">
        <v>28</v>
      </c>
      <c r="G84" s="5" t="n">
        <v>46266</v>
      </c>
      <c r="H84" s="5" t="n">
        <v>46295</v>
      </c>
      <c r="I84" s="4"/>
      <c r="J84" s="4"/>
      <c r="K84" s="4"/>
      <c r="L84" s="4"/>
      <c r="M84" s="4"/>
      <c r="N84" s="4"/>
      <c r="O84" s="6" t="s">
        <v>95</v>
      </c>
      <c r="P84" s="4"/>
      <c r="Q84" s="7" t="str">
        <f aca="false">IFERROR(IF(OR(O84="",O84=0),"",P84/O84),"")</f>
        <v/>
      </c>
      <c r="R84" s="8"/>
    </row>
    <row r="85" customFormat="false" ht="14.25" hidden="false" customHeight="true" outlineLevel="0" collapsed="false">
      <c r="A85" s="3" t="s">
        <v>18</v>
      </c>
      <c r="B85" s="3" t="s">
        <v>97</v>
      </c>
      <c r="C85" s="4" t="s">
        <v>98</v>
      </c>
      <c r="D85" s="3" t="s">
        <v>21</v>
      </c>
      <c r="E85" s="3" t="s">
        <v>54</v>
      </c>
      <c r="F85" s="3" t="s">
        <v>23</v>
      </c>
      <c r="G85" s="5" t="n">
        <v>46266</v>
      </c>
      <c r="H85" s="5" t="n">
        <v>46295</v>
      </c>
      <c r="I85" s="5"/>
      <c r="J85" s="4"/>
      <c r="K85" s="4"/>
      <c r="L85" s="4"/>
      <c r="M85" s="4"/>
      <c r="N85" s="4"/>
      <c r="O85" s="17" t="n">
        <v>3850</v>
      </c>
      <c r="P85" s="4"/>
      <c r="Q85" s="7" t="str">
        <f aca="false">IFERROR(IF(OR(O85="",O85=0),"",P85/O85),"")</f>
        <v>0%</v>
      </c>
      <c r="R85" s="8"/>
    </row>
    <row r="86" customFormat="false" ht="14.25" hidden="false" customHeight="true" outlineLevel="0" collapsed="false">
      <c r="A86" s="3" t="s">
        <v>18</v>
      </c>
      <c r="B86" s="3" t="s">
        <v>99</v>
      </c>
      <c r="C86" s="4" t="s">
        <v>98</v>
      </c>
      <c r="D86" s="3" t="s">
        <v>21</v>
      </c>
      <c r="E86" s="3" t="s">
        <v>54</v>
      </c>
      <c r="F86" s="3" t="s">
        <v>23</v>
      </c>
      <c r="G86" s="5" t="n">
        <v>46266</v>
      </c>
      <c r="H86" s="5" t="n">
        <v>46295</v>
      </c>
      <c r="I86" s="5"/>
      <c r="J86" s="4"/>
      <c r="K86" s="4"/>
      <c r="L86" s="4"/>
      <c r="M86" s="4"/>
      <c r="N86" s="4"/>
      <c r="O86" s="6" t="n">
        <v>2200</v>
      </c>
      <c r="P86" s="4"/>
      <c r="Q86" s="7" t="str">
        <f aca="false">IFERROR(IF(OR(O86="",O86=0),"",P86/O86),"")</f>
        <v>0%</v>
      </c>
      <c r="R86" s="8"/>
    </row>
    <row r="87" customFormat="false" ht="14.25" hidden="false" customHeight="true" outlineLevel="0" collapsed="false">
      <c r="A87" s="3" t="s">
        <v>18</v>
      </c>
      <c r="B87" s="3" t="s">
        <v>93</v>
      </c>
      <c r="C87" s="4" t="s">
        <v>98</v>
      </c>
      <c r="D87" s="3" t="s">
        <v>21</v>
      </c>
      <c r="E87" s="3" t="s">
        <v>54</v>
      </c>
      <c r="F87" s="3" t="s">
        <v>28</v>
      </c>
      <c r="G87" s="5" t="n">
        <v>46266</v>
      </c>
      <c r="H87" s="5" t="n">
        <v>46295</v>
      </c>
      <c r="I87" s="5"/>
      <c r="J87" s="4"/>
      <c r="K87" s="4"/>
      <c r="L87" s="4"/>
      <c r="M87" s="4"/>
      <c r="N87" s="4"/>
      <c r="O87" s="6" t="n">
        <v>660</v>
      </c>
      <c r="P87" s="4"/>
      <c r="Q87" s="7" t="str">
        <f aca="false">IFERROR(IF(OR(O87="",O87=0),"",P87/O87),"")</f>
        <v>0%</v>
      </c>
      <c r="R87" s="8"/>
    </row>
    <row r="88" customFormat="false" ht="14.25" hidden="false" customHeight="true" outlineLevel="0" collapsed="false">
      <c r="A88" s="3" t="s">
        <v>18</v>
      </c>
      <c r="B88" s="3" t="s">
        <v>94</v>
      </c>
      <c r="C88" s="4" t="s">
        <v>98</v>
      </c>
      <c r="D88" s="3" t="s">
        <v>21</v>
      </c>
      <c r="E88" s="3" t="s">
        <v>54</v>
      </c>
      <c r="F88" s="3" t="s">
        <v>28</v>
      </c>
      <c r="G88" s="5" t="n">
        <v>46266</v>
      </c>
      <c r="H88" s="5" t="n">
        <v>46295</v>
      </c>
      <c r="I88" s="5"/>
      <c r="J88" s="4"/>
      <c r="K88" s="4"/>
      <c r="L88" s="4"/>
      <c r="M88" s="4"/>
      <c r="N88" s="4"/>
      <c r="O88" s="6" t="s">
        <v>95</v>
      </c>
      <c r="P88" s="4"/>
      <c r="Q88" s="7" t="str">
        <f aca="false">IFERROR(IF(OR(O88="",O88=0),"",P88/O88),"")</f>
        <v/>
      </c>
      <c r="R88" s="8"/>
    </row>
    <row r="89" customFormat="false" ht="14.25" hidden="false" customHeight="true" outlineLevel="0" collapsed="false">
      <c r="A89" s="14" t="s">
        <v>18</v>
      </c>
      <c r="B89" s="14" t="s">
        <v>76</v>
      </c>
      <c r="C89" s="9" t="s">
        <v>100</v>
      </c>
      <c r="D89" s="14" t="s">
        <v>21</v>
      </c>
      <c r="E89" s="14" t="s">
        <v>54</v>
      </c>
      <c r="F89" s="14" t="s">
        <v>23</v>
      </c>
      <c r="G89" s="15" t="n">
        <v>46266</v>
      </c>
      <c r="H89" s="15" t="n">
        <v>46295</v>
      </c>
      <c r="I89" s="5"/>
      <c r="J89" s="4"/>
      <c r="K89" s="4"/>
      <c r="L89" s="4"/>
      <c r="M89" s="4"/>
      <c r="N89" s="4"/>
      <c r="O89" s="16" t="n">
        <v>4070</v>
      </c>
      <c r="P89" s="4"/>
      <c r="Q89" s="7" t="str">
        <f aca="false">IFERROR(IF(OR(O89="",O89=0),"",P89/O89),"")</f>
        <v>0%</v>
      </c>
      <c r="R89" s="8"/>
    </row>
    <row r="90" customFormat="false" ht="14.25" hidden="false" customHeight="true" outlineLevel="0" collapsed="false">
      <c r="A90" s="14" t="s">
        <v>18</v>
      </c>
      <c r="B90" s="14" t="s">
        <v>101</v>
      </c>
      <c r="C90" s="9" t="s">
        <v>100</v>
      </c>
      <c r="D90" s="14" t="s">
        <v>21</v>
      </c>
      <c r="E90" s="14" t="s">
        <v>54</v>
      </c>
      <c r="F90" s="14" t="s">
        <v>23</v>
      </c>
      <c r="G90" s="15" t="n">
        <v>46266</v>
      </c>
      <c r="H90" s="15" t="n">
        <v>46295</v>
      </c>
      <c r="I90" s="5"/>
      <c r="J90" s="4"/>
      <c r="K90" s="4"/>
      <c r="L90" s="4"/>
      <c r="M90" s="4"/>
      <c r="N90" s="4"/>
      <c r="O90" s="16" t="n">
        <v>2860</v>
      </c>
      <c r="P90" s="4"/>
      <c r="Q90" s="7" t="str">
        <f aca="false">IFERROR(IF(OR(O90="",O90=0),"",P90/O90),"")</f>
        <v>0%</v>
      </c>
      <c r="R90" s="8"/>
    </row>
    <row r="91" customFormat="false" ht="14.25" hidden="false" customHeight="true" outlineLevel="0" collapsed="false">
      <c r="A91" s="3" t="s">
        <v>18</v>
      </c>
      <c r="B91" s="3" t="s">
        <v>93</v>
      </c>
      <c r="C91" s="9" t="s">
        <v>100</v>
      </c>
      <c r="D91" s="3" t="s">
        <v>21</v>
      </c>
      <c r="E91" s="3" t="s">
        <v>54</v>
      </c>
      <c r="F91" s="3" t="s">
        <v>28</v>
      </c>
      <c r="G91" s="5" t="n">
        <v>46266</v>
      </c>
      <c r="H91" s="5" t="n">
        <v>46295</v>
      </c>
      <c r="I91" s="5"/>
      <c r="J91" s="4"/>
      <c r="K91" s="4"/>
      <c r="L91" s="4"/>
      <c r="M91" s="4"/>
      <c r="N91" s="4"/>
      <c r="O91" s="6" t="n">
        <v>660</v>
      </c>
      <c r="P91" s="4"/>
      <c r="Q91" s="7" t="str">
        <f aca="false">IFERROR(IF(OR(O91="",O91=0),"",P91/O91),"")</f>
        <v>0%</v>
      </c>
      <c r="R91" s="8"/>
    </row>
    <row r="92" customFormat="false" ht="14.25" hidden="false" customHeight="true" outlineLevel="0" collapsed="false">
      <c r="A92" s="3" t="s">
        <v>18</v>
      </c>
      <c r="B92" s="3" t="s">
        <v>94</v>
      </c>
      <c r="C92" s="9" t="s">
        <v>100</v>
      </c>
      <c r="D92" s="3" t="s">
        <v>21</v>
      </c>
      <c r="E92" s="3" t="s">
        <v>54</v>
      </c>
      <c r="F92" s="3" t="s">
        <v>28</v>
      </c>
      <c r="G92" s="5" t="n">
        <v>46266</v>
      </c>
      <c r="H92" s="5" t="n">
        <v>46295</v>
      </c>
      <c r="I92" s="5"/>
      <c r="J92" s="4"/>
      <c r="K92" s="4"/>
      <c r="L92" s="4"/>
      <c r="M92" s="4"/>
      <c r="N92" s="4"/>
      <c r="O92" s="6" t="s">
        <v>95</v>
      </c>
      <c r="P92" s="4"/>
      <c r="Q92" s="7" t="str">
        <f aca="false">IFERROR(IF(OR(O92="",O92=0),"",P92/O92),"")</f>
        <v/>
      </c>
      <c r="R92" s="8"/>
    </row>
    <row r="93" customFormat="false" ht="14.25" hidden="false" customHeight="true" outlineLevel="0" collapsed="false">
      <c r="A93" s="3" t="s">
        <v>18</v>
      </c>
      <c r="B93" s="3" t="s">
        <v>76</v>
      </c>
      <c r="C93" s="4" t="s">
        <v>102</v>
      </c>
      <c r="D93" s="3" t="s">
        <v>21</v>
      </c>
      <c r="E93" s="3" t="s">
        <v>54</v>
      </c>
      <c r="F93" s="3" t="s">
        <v>23</v>
      </c>
      <c r="G93" s="5" t="n">
        <v>46266</v>
      </c>
      <c r="H93" s="5" t="n">
        <v>46295</v>
      </c>
      <c r="I93" s="5"/>
      <c r="J93" s="4"/>
      <c r="K93" s="4"/>
      <c r="L93" s="4"/>
      <c r="M93" s="4"/>
      <c r="N93" s="4"/>
      <c r="O93" s="6" t="n">
        <v>4070</v>
      </c>
      <c r="P93" s="4"/>
      <c r="Q93" s="7" t="str">
        <f aca="false">IFERROR(IF(OR(O93="",O93=0),"",P93/O93),"")</f>
        <v>0%</v>
      </c>
      <c r="R93" s="8"/>
    </row>
    <row r="94" customFormat="false" ht="14.25" hidden="false" customHeight="true" outlineLevel="0" collapsed="false">
      <c r="A94" s="3" t="s">
        <v>18</v>
      </c>
      <c r="B94" s="3" t="s">
        <v>79</v>
      </c>
      <c r="C94" s="4" t="s">
        <v>102</v>
      </c>
      <c r="D94" s="3" t="s">
        <v>21</v>
      </c>
      <c r="E94" s="3" t="s">
        <v>54</v>
      </c>
      <c r="F94" s="3" t="s">
        <v>23</v>
      </c>
      <c r="G94" s="5" t="n">
        <v>46266</v>
      </c>
      <c r="H94" s="5" t="n">
        <v>46295</v>
      </c>
      <c r="I94" s="5"/>
      <c r="J94" s="4"/>
      <c r="K94" s="4"/>
      <c r="L94" s="4"/>
      <c r="M94" s="4"/>
      <c r="N94" s="4"/>
      <c r="O94" s="6" t="n">
        <v>3300</v>
      </c>
      <c r="P94" s="4"/>
      <c r="Q94" s="7" t="str">
        <f aca="false">IFERROR(IF(OR(O94="",O94=0),"",P94/O94),"")</f>
        <v>0%</v>
      </c>
      <c r="R94" s="8"/>
    </row>
    <row r="95" customFormat="false" ht="14.25" hidden="false" customHeight="true" outlineLevel="0" collapsed="false">
      <c r="A95" s="3" t="s">
        <v>18</v>
      </c>
      <c r="B95" s="3" t="s">
        <v>80</v>
      </c>
      <c r="C95" s="4" t="s">
        <v>102</v>
      </c>
      <c r="D95" s="3" t="s">
        <v>21</v>
      </c>
      <c r="E95" s="3" t="s">
        <v>54</v>
      </c>
      <c r="F95" s="3" t="s">
        <v>28</v>
      </c>
      <c r="G95" s="5" t="n">
        <v>46266</v>
      </c>
      <c r="H95" s="5" t="n">
        <v>46295</v>
      </c>
      <c r="I95" s="5"/>
      <c r="J95" s="4"/>
      <c r="K95" s="4"/>
      <c r="L95" s="4"/>
      <c r="M95" s="4"/>
      <c r="N95" s="4"/>
      <c r="O95" s="6" t="n">
        <v>330</v>
      </c>
      <c r="P95" s="4"/>
      <c r="Q95" s="7" t="str">
        <f aca="false">IFERROR(IF(OR(O95="",O95=0),"",P95/O95),"")</f>
        <v>0%</v>
      </c>
      <c r="R95" s="8"/>
    </row>
    <row r="96" customFormat="false" ht="14.25" hidden="false" customHeight="true" outlineLevel="0" collapsed="false">
      <c r="A96" s="3" t="s">
        <v>18</v>
      </c>
      <c r="B96" s="3" t="s">
        <v>81</v>
      </c>
      <c r="C96" s="4" t="s">
        <v>102</v>
      </c>
      <c r="D96" s="3" t="s">
        <v>21</v>
      </c>
      <c r="E96" s="3" t="s">
        <v>54</v>
      </c>
      <c r="F96" s="3" t="s">
        <v>28</v>
      </c>
      <c r="G96" s="5" t="n">
        <v>46266</v>
      </c>
      <c r="H96" s="5" t="n">
        <v>46295</v>
      </c>
      <c r="I96" s="5"/>
      <c r="J96" s="4"/>
      <c r="K96" s="4"/>
      <c r="L96" s="4"/>
      <c r="M96" s="4"/>
      <c r="N96" s="4"/>
      <c r="O96" s="6" t="s">
        <v>82</v>
      </c>
      <c r="P96" s="4"/>
      <c r="Q96" s="7" t="str">
        <f aca="false">IFERROR(IF(OR(O96="",O96=0),"",P96/O96),"")</f>
        <v/>
      </c>
      <c r="R96" s="8"/>
    </row>
    <row r="97" customFormat="false" ht="14.25" hidden="false" customHeight="true" outlineLevel="0" collapsed="false">
      <c r="A97" s="3" t="s">
        <v>18</v>
      </c>
      <c r="B97" s="3" t="s">
        <v>76</v>
      </c>
      <c r="C97" s="4" t="s">
        <v>103</v>
      </c>
      <c r="D97" s="3" t="s">
        <v>21</v>
      </c>
      <c r="E97" s="3" t="s">
        <v>54</v>
      </c>
      <c r="F97" s="3" t="s">
        <v>23</v>
      </c>
      <c r="G97" s="5" t="n">
        <v>46266</v>
      </c>
      <c r="H97" s="5" t="n">
        <v>46295</v>
      </c>
      <c r="I97" s="5"/>
      <c r="J97" s="4"/>
      <c r="K97" s="4"/>
      <c r="L97" s="4"/>
      <c r="M97" s="4"/>
      <c r="N97" s="4"/>
      <c r="O97" s="6" t="n">
        <v>4070</v>
      </c>
      <c r="P97" s="4"/>
      <c r="Q97" s="7" t="str">
        <f aca="false">IFERROR(IF(OR(O97="",O97=0),"",P97/O97),"")</f>
        <v>0%</v>
      </c>
      <c r="R97" s="8"/>
    </row>
    <row r="98" customFormat="false" ht="14.25" hidden="false" customHeight="true" outlineLevel="0" collapsed="false">
      <c r="A98" s="3" t="s">
        <v>18</v>
      </c>
      <c r="B98" s="3" t="s">
        <v>79</v>
      </c>
      <c r="C98" s="4" t="s">
        <v>103</v>
      </c>
      <c r="D98" s="3" t="s">
        <v>21</v>
      </c>
      <c r="E98" s="3" t="s">
        <v>54</v>
      </c>
      <c r="F98" s="3" t="s">
        <v>23</v>
      </c>
      <c r="G98" s="5" t="n">
        <v>46266</v>
      </c>
      <c r="H98" s="5" t="n">
        <v>46295</v>
      </c>
      <c r="I98" s="5"/>
      <c r="J98" s="4"/>
      <c r="K98" s="4"/>
      <c r="L98" s="4"/>
      <c r="M98" s="4"/>
      <c r="N98" s="4"/>
      <c r="O98" s="6" t="n">
        <v>3300</v>
      </c>
      <c r="P98" s="4"/>
      <c r="Q98" s="7" t="str">
        <f aca="false">IFERROR(IF(OR(O98="",O98=0),"",P98/O98),"")</f>
        <v>0%</v>
      </c>
      <c r="R98" s="8"/>
    </row>
    <row r="99" customFormat="false" ht="14.25" hidden="false" customHeight="true" outlineLevel="0" collapsed="false">
      <c r="A99" s="3" t="s">
        <v>18</v>
      </c>
      <c r="B99" s="3" t="s">
        <v>80</v>
      </c>
      <c r="C99" s="4" t="s">
        <v>103</v>
      </c>
      <c r="D99" s="3" t="s">
        <v>21</v>
      </c>
      <c r="E99" s="3" t="s">
        <v>54</v>
      </c>
      <c r="F99" s="3" t="s">
        <v>28</v>
      </c>
      <c r="G99" s="5" t="n">
        <v>46266</v>
      </c>
      <c r="H99" s="5" t="n">
        <v>46295</v>
      </c>
      <c r="I99" s="5"/>
      <c r="J99" s="4"/>
      <c r="K99" s="4"/>
      <c r="L99" s="4"/>
      <c r="M99" s="4"/>
      <c r="N99" s="4"/>
      <c r="O99" s="6" t="n">
        <v>330</v>
      </c>
      <c r="P99" s="4"/>
      <c r="Q99" s="7" t="str">
        <f aca="false">IFERROR(IF(OR(O99="",O99=0),"",P99/O99),"")</f>
        <v>0%</v>
      </c>
      <c r="R99" s="8"/>
    </row>
    <row r="100" customFormat="false" ht="14.25" hidden="false" customHeight="true" outlineLevel="0" collapsed="false">
      <c r="A100" s="3" t="s">
        <v>18</v>
      </c>
      <c r="B100" s="3" t="s">
        <v>81</v>
      </c>
      <c r="C100" s="4" t="s">
        <v>103</v>
      </c>
      <c r="D100" s="3" t="s">
        <v>21</v>
      </c>
      <c r="E100" s="3" t="s">
        <v>54</v>
      </c>
      <c r="F100" s="3" t="s">
        <v>28</v>
      </c>
      <c r="G100" s="5" t="n">
        <v>46266</v>
      </c>
      <c r="H100" s="5" t="n">
        <v>46295</v>
      </c>
      <c r="I100" s="5"/>
      <c r="J100" s="4"/>
      <c r="K100" s="4"/>
      <c r="L100" s="4"/>
      <c r="M100" s="4"/>
      <c r="N100" s="4"/>
      <c r="O100" s="6" t="s">
        <v>82</v>
      </c>
      <c r="P100" s="4"/>
      <c r="Q100" s="7" t="str">
        <f aca="false">IFERROR(IF(OR(O100="",O100=0),"",P100/O100),"")</f>
        <v/>
      </c>
      <c r="R100" s="8"/>
    </row>
    <row r="101" customFormat="false" ht="14.25" hidden="false" customHeight="true" outlineLevel="0" collapsed="false">
      <c r="A101" s="14" t="s">
        <v>18</v>
      </c>
      <c r="B101" s="14" t="s">
        <v>76</v>
      </c>
      <c r="C101" s="9" t="s">
        <v>104</v>
      </c>
      <c r="D101" s="14" t="s">
        <v>21</v>
      </c>
      <c r="E101" s="14" t="s">
        <v>54</v>
      </c>
      <c r="F101" s="14" t="s">
        <v>23</v>
      </c>
      <c r="G101" s="15" t="n">
        <v>46266</v>
      </c>
      <c r="H101" s="15" t="n">
        <v>46295</v>
      </c>
      <c r="I101" s="5"/>
      <c r="J101" s="4"/>
      <c r="K101" s="4"/>
      <c r="L101" s="4"/>
      <c r="M101" s="4"/>
      <c r="N101" s="4"/>
      <c r="O101" s="16" t="n">
        <v>4070</v>
      </c>
      <c r="P101" s="4"/>
      <c r="Q101" s="7" t="str">
        <f aca="false">IFERROR(IF(OR(O101="",O101=0),"",P101/O101),"")</f>
        <v>0%</v>
      </c>
      <c r="R101" s="8"/>
    </row>
    <row r="102" customFormat="false" ht="14.25" hidden="false" customHeight="true" outlineLevel="0" collapsed="false">
      <c r="A102" s="14" t="s">
        <v>18</v>
      </c>
      <c r="B102" s="14" t="s">
        <v>79</v>
      </c>
      <c r="C102" s="9" t="s">
        <v>104</v>
      </c>
      <c r="D102" s="14" t="s">
        <v>21</v>
      </c>
      <c r="E102" s="14" t="s">
        <v>54</v>
      </c>
      <c r="F102" s="14" t="s">
        <v>23</v>
      </c>
      <c r="G102" s="15" t="n">
        <v>46266</v>
      </c>
      <c r="H102" s="15" t="n">
        <v>46295</v>
      </c>
      <c r="I102" s="5"/>
      <c r="J102" s="4"/>
      <c r="K102" s="4"/>
      <c r="L102" s="4"/>
      <c r="M102" s="4"/>
      <c r="N102" s="4"/>
      <c r="O102" s="16" t="n">
        <v>3300</v>
      </c>
      <c r="P102" s="4"/>
      <c r="Q102" s="7" t="str">
        <f aca="false">IFERROR(IF(OR(O102="",O102=0),"",P102/O102),"")</f>
        <v>0%</v>
      </c>
      <c r="R102" s="8"/>
    </row>
    <row r="103" customFormat="false" ht="14.25" hidden="false" customHeight="true" outlineLevel="0" collapsed="false">
      <c r="A103" s="14" t="s">
        <v>18</v>
      </c>
      <c r="B103" s="14" t="s">
        <v>80</v>
      </c>
      <c r="C103" s="9" t="s">
        <v>104</v>
      </c>
      <c r="D103" s="14" t="s">
        <v>21</v>
      </c>
      <c r="E103" s="14" t="s">
        <v>54</v>
      </c>
      <c r="F103" s="14" t="s">
        <v>28</v>
      </c>
      <c r="G103" s="15" t="n">
        <v>46266</v>
      </c>
      <c r="H103" s="15" t="n">
        <v>46295</v>
      </c>
      <c r="I103" s="5"/>
      <c r="J103" s="4"/>
      <c r="K103" s="4"/>
      <c r="L103" s="4"/>
      <c r="M103" s="4"/>
      <c r="N103" s="4"/>
      <c r="O103" s="16" t="n">
        <v>330</v>
      </c>
      <c r="P103" s="4"/>
      <c r="Q103" s="7" t="str">
        <f aca="false">IFERROR(IF(OR(O103="",O103=0),"",P103/O103),"")</f>
        <v>0%</v>
      </c>
      <c r="R103" s="8"/>
    </row>
    <row r="104" customFormat="false" ht="14.25" hidden="false" customHeight="true" outlineLevel="0" collapsed="false">
      <c r="A104" s="14" t="s">
        <v>18</v>
      </c>
      <c r="B104" s="14" t="s">
        <v>81</v>
      </c>
      <c r="C104" s="9" t="s">
        <v>104</v>
      </c>
      <c r="D104" s="14" t="s">
        <v>21</v>
      </c>
      <c r="E104" s="14" t="s">
        <v>54</v>
      </c>
      <c r="F104" s="14" t="s">
        <v>28</v>
      </c>
      <c r="G104" s="15" t="n">
        <v>46266</v>
      </c>
      <c r="H104" s="15" t="n">
        <v>46295</v>
      </c>
      <c r="I104" s="5"/>
      <c r="J104" s="4"/>
      <c r="K104" s="4"/>
      <c r="L104" s="4"/>
      <c r="M104" s="4"/>
      <c r="N104" s="4"/>
      <c r="O104" s="16" t="s">
        <v>82</v>
      </c>
      <c r="P104" s="4"/>
      <c r="Q104" s="7" t="str">
        <f aca="false">IFERROR(IF(OR(O104="",O104=0),"",P104/O104),"")</f>
        <v/>
      </c>
      <c r="R104" s="8"/>
    </row>
    <row r="105" customFormat="false" ht="14.25" hidden="false" customHeight="true" outlineLevel="0" collapsed="false">
      <c r="A105" s="10" t="s">
        <v>18</v>
      </c>
      <c r="B105" s="10" t="s">
        <v>105</v>
      </c>
      <c r="C105" s="12" t="s">
        <v>106</v>
      </c>
      <c r="D105" s="12" t="s">
        <v>21</v>
      </c>
      <c r="E105" s="10" t="s">
        <v>54</v>
      </c>
      <c r="F105" s="10" t="s">
        <v>23</v>
      </c>
      <c r="G105" s="18" t="n">
        <v>46266</v>
      </c>
      <c r="H105" s="18" t="n">
        <v>46295</v>
      </c>
      <c r="I105" s="4"/>
      <c r="J105" s="4"/>
      <c r="K105" s="4"/>
      <c r="L105" s="4"/>
      <c r="M105" s="4"/>
      <c r="N105" s="4"/>
      <c r="O105" s="16" t="n">
        <v>44000</v>
      </c>
      <c r="P105" s="4"/>
      <c r="Q105" s="7" t="str">
        <f aca="false">IFERROR(IF(OR(O105="",O105=0),"",P105/O105),"")</f>
        <v>0%</v>
      </c>
    </row>
    <row r="106" customFormat="false" ht="14.25" hidden="false" customHeight="true" outlineLevel="0" collapsed="false">
      <c r="A106" s="10" t="s">
        <v>18</v>
      </c>
      <c r="B106" s="10" t="s">
        <v>107</v>
      </c>
      <c r="C106" s="12" t="s">
        <v>106</v>
      </c>
      <c r="D106" s="12" t="s">
        <v>21</v>
      </c>
      <c r="E106" s="10" t="s">
        <v>54</v>
      </c>
      <c r="F106" s="10" t="s">
        <v>23</v>
      </c>
      <c r="G106" s="18" t="n">
        <v>46266</v>
      </c>
      <c r="H106" s="18" t="n">
        <v>46295</v>
      </c>
      <c r="I106" s="4"/>
      <c r="J106" s="4"/>
      <c r="K106" s="4"/>
      <c r="L106" s="4"/>
      <c r="M106" s="4"/>
      <c r="N106" s="4"/>
      <c r="O106" s="16" t="n">
        <v>32890</v>
      </c>
      <c r="P106" s="4"/>
      <c r="Q106" s="7" t="str">
        <f aca="false">IFERROR(IF(OR(O106="",O106=0),"",P106/O106),"")</f>
        <v>0%</v>
      </c>
    </row>
    <row r="107" customFormat="false" ht="14.25" hidden="false" customHeight="true" outlineLevel="0" collapsed="false">
      <c r="A107" s="10" t="s">
        <v>18</v>
      </c>
      <c r="B107" s="10" t="s">
        <v>108</v>
      </c>
      <c r="C107" s="12" t="s">
        <v>106</v>
      </c>
      <c r="D107" s="12" t="s">
        <v>21</v>
      </c>
      <c r="E107" s="10" t="s">
        <v>54</v>
      </c>
      <c r="F107" s="10" t="s">
        <v>28</v>
      </c>
      <c r="G107" s="18" t="n">
        <v>46266</v>
      </c>
      <c r="H107" s="18" t="n">
        <v>46295</v>
      </c>
      <c r="I107" s="4"/>
      <c r="J107" s="4"/>
      <c r="K107" s="4"/>
      <c r="L107" s="4"/>
      <c r="M107" s="4"/>
      <c r="N107" s="4"/>
      <c r="O107" s="16" t="n">
        <v>4290</v>
      </c>
      <c r="P107" s="4"/>
      <c r="Q107" s="7" t="str">
        <f aca="false">IFERROR(IF(OR(O107="",O107=0),"",P107/O107),"")</f>
        <v>0%</v>
      </c>
    </row>
    <row r="108" customFormat="false" ht="14.25" hidden="false" customHeight="true" outlineLevel="0" collapsed="false">
      <c r="A108" s="10" t="s">
        <v>18</v>
      </c>
      <c r="B108" s="10" t="s">
        <v>109</v>
      </c>
      <c r="C108" s="12" t="s">
        <v>106</v>
      </c>
      <c r="D108" s="12" t="s">
        <v>21</v>
      </c>
      <c r="E108" s="10" t="s">
        <v>54</v>
      </c>
      <c r="F108" s="10" t="s">
        <v>28</v>
      </c>
      <c r="G108" s="18" t="n">
        <v>46266</v>
      </c>
      <c r="H108" s="18" t="n">
        <v>46295</v>
      </c>
      <c r="I108" s="4"/>
      <c r="J108" s="4"/>
      <c r="K108" s="4"/>
      <c r="L108" s="4"/>
      <c r="M108" s="4"/>
      <c r="N108" s="4"/>
      <c r="O108" s="16" t="n">
        <v>236000000</v>
      </c>
      <c r="P108" s="4"/>
      <c r="Q108" s="7" t="str">
        <f aca="false">IFERROR(IF(OR(O108="",O108=0),"",P108/O108),"")</f>
        <v>0%</v>
      </c>
    </row>
    <row r="109" customFormat="false" ht="14.25" hidden="false" customHeight="true" outlineLevel="0" collapsed="false">
      <c r="A109" s="10" t="s">
        <v>18</v>
      </c>
      <c r="B109" s="10" t="s">
        <v>110</v>
      </c>
      <c r="C109" s="12" t="s">
        <v>106</v>
      </c>
      <c r="D109" s="12" t="s">
        <v>21</v>
      </c>
      <c r="E109" s="10" t="s">
        <v>54</v>
      </c>
      <c r="F109" s="10" t="s">
        <v>28</v>
      </c>
      <c r="G109" s="18" t="n">
        <v>46266</v>
      </c>
      <c r="H109" s="18" t="n">
        <v>46295</v>
      </c>
      <c r="I109" s="4"/>
      <c r="J109" s="4"/>
      <c r="K109" s="4"/>
      <c r="L109" s="4"/>
      <c r="M109" s="4"/>
      <c r="N109" s="4"/>
      <c r="O109" s="16" t="n">
        <v>150</v>
      </c>
      <c r="P109" s="4"/>
      <c r="Q109" s="7" t="str">
        <f aca="false">IFERROR(IF(OR(O109="",O109=0),"",P109/O109),"")</f>
        <v>0%</v>
      </c>
    </row>
    <row r="110" customFormat="false" ht="14.25" hidden="false" customHeight="true" outlineLevel="0" collapsed="false">
      <c r="A110" s="10" t="s">
        <v>18</v>
      </c>
      <c r="B110" s="10" t="s">
        <v>111</v>
      </c>
      <c r="C110" s="12" t="s">
        <v>106</v>
      </c>
      <c r="D110" s="12" t="s">
        <v>21</v>
      </c>
      <c r="E110" s="10" t="s">
        <v>54</v>
      </c>
      <c r="F110" s="10" t="s">
        <v>28</v>
      </c>
      <c r="G110" s="18" t="n">
        <v>46266</v>
      </c>
      <c r="H110" s="18" t="n">
        <v>46295</v>
      </c>
      <c r="I110" s="4"/>
      <c r="J110" s="4"/>
      <c r="K110" s="4"/>
      <c r="L110" s="4"/>
      <c r="M110" s="4"/>
      <c r="N110" s="4"/>
      <c r="O110" s="16" t="n">
        <v>3500000</v>
      </c>
      <c r="P110" s="4"/>
      <c r="Q110" s="7" t="str">
        <f aca="false">IFERROR(IF(OR(O110="",O110=0),"",P110/O110),"")</f>
        <v>0%</v>
      </c>
    </row>
    <row r="111" customFormat="false" ht="14.25" hidden="false" customHeight="true" outlineLevel="0" collapsed="false">
      <c r="A111" s="19" t="s">
        <v>18</v>
      </c>
      <c r="B111" s="20" t="s">
        <v>112</v>
      </c>
      <c r="C111" s="21" t="s">
        <v>106</v>
      </c>
      <c r="D111" s="21" t="s">
        <v>21</v>
      </c>
      <c r="E111" s="19" t="s">
        <v>54</v>
      </c>
      <c r="F111" s="19" t="s">
        <v>28</v>
      </c>
      <c r="G111" s="22" t="n">
        <v>46266</v>
      </c>
      <c r="H111" s="22" t="n">
        <v>46295</v>
      </c>
    </row>
  </sheetData>
  <autoFilter ref="A3:R56"/>
  <mergeCells count="1">
    <mergeCell ref="A1:Q2"/>
  </mergeCells>
  <conditionalFormatting sqref="Q50:Q52">
    <cfRule type="cellIs" priority="2" operator="equal" aboveAverage="0" equalAverage="0" bottom="0" percent="0" rank="0" text="" dxfId="4">
      <formula>"No"</formula>
    </cfRule>
    <cfRule type="cellIs" priority="3" operator="equal" aboveAverage="0" equalAverage="0" bottom="0" percent="0" rank="0" text="" dxfId="5">
      <formula>"Yes"</formula>
    </cfRule>
  </conditionalFormatting>
  <conditionalFormatting sqref="O44:Q46">
    <cfRule type="cellIs" priority="4" operator="equal" aboveAverage="0" equalAverage="0" bottom="0" percent="0" rank="0" text="" dxfId="6">
      <formula>"No"</formula>
    </cfRule>
    <cfRule type="cellIs" priority="5" operator="equal" aboveAverage="0" equalAverage="0" bottom="0" percent="0" rank="0" text="" dxfId="7">
      <formula>"Yes"</formula>
    </cfRule>
  </conditionalFormatting>
  <conditionalFormatting sqref="B50:B52">
    <cfRule type="cellIs" priority="6" operator="equal" aboveAverage="0" equalAverage="0" bottom="0" percent="0" rank="0" text="" dxfId="8">
      <formula>"No"</formula>
    </cfRule>
    <cfRule type="cellIs" priority="7" operator="equal" aboveAverage="0" equalAverage="0" bottom="0" percent="0" rank="0" text="" dxfId="9">
      <formula>"Yes"</formula>
    </cfRule>
  </conditionalFormatting>
  <conditionalFormatting sqref="A50:A53 F50:F53">
    <cfRule type="cellIs" priority="8" operator="equal" aboveAverage="0" equalAverage="0" bottom="0" percent="0" rank="0" text="" dxfId="10">
      <formula>"No"</formula>
    </cfRule>
    <cfRule type="cellIs" priority="9" operator="equal" aboveAverage="0" equalAverage="0" bottom="0" percent="0" rank="0" text="" dxfId="11">
      <formula>"Yes"</formula>
    </cfRule>
  </conditionalFormatting>
  <conditionalFormatting sqref="F44:F46">
    <cfRule type="cellIs" priority="10" operator="equal" aboveAverage="0" equalAverage="0" bottom="0" percent="0" rank="0" text="" dxfId="12">
      <formula>"No"</formula>
    </cfRule>
    <cfRule type="cellIs" priority="11" operator="equal" aboveAverage="0" equalAverage="0" bottom="0" percent="0" rank="0" text="" dxfId="13">
      <formula>"Yes"</formula>
    </cfRule>
  </conditionalFormatting>
  <conditionalFormatting sqref="J4:J46">
    <cfRule type="cellIs" priority="12" operator="equal" aboveAverage="0" equalAverage="0" bottom="0" percent="0" rank="0" text="" dxfId="14">
      <formula>"Delayed"</formula>
    </cfRule>
    <cfRule type="cellIs" priority="13" operator="equal" aboveAverage="0" equalAverage="0" bottom="0" percent="0" rank="0" text="" dxfId="15">
      <formula>"Completed"</formula>
    </cfRule>
  </conditionalFormatting>
  <conditionalFormatting sqref="K4:K46">
    <cfRule type="cellIs" priority="14" operator="equal" aboveAverage="0" equalAverage="0" bottom="0" percent="0" rank="0" text="" dxfId="16">
      <formula>"No"</formula>
    </cfRule>
    <cfRule type="cellIs" priority="15" operator="equal" aboveAverage="0" equalAverage="0" bottom="0" percent="0" rank="0" text="" dxfId="17">
      <formula>"Yes"</formula>
    </cfRule>
  </conditionalFormatting>
  <dataValidations count="4">
    <dataValidation allowBlank="true" errorStyle="stop" operator="between" prompt="Choose a value from the list" showDropDown="false" showErrorMessage="true" showInputMessage="true" sqref="M4:M46" type="list">
      <formula1>"Yes,No"</formula1>
      <formula2>0</formula2>
    </dataValidation>
    <dataValidation allowBlank="true" errorStyle="stop" operator="between" prompt="Choose a value from the list" showDropDown="false" showErrorMessage="true" showInputMessage="true" sqref="D4:D39 D44:D104" type="list">
      <formula1>"Learning &amp; Development,Human Resources,IT / Tech,Sales,Operations,Compliance,Customer Support,Finance"</formula1>
      <formula2>0</formula2>
    </dataValidation>
    <dataValidation allowBlank="true" errorStyle="stop" operator="between" prompt="Choose a value from the list" showDropDown="false" showErrorMessage="true" showInputMessage="true" sqref="J4:J46" type="list">
      <formula1>"Ongoing,Completed,Delayed,On Hold"</formula1>
      <formula2>0</formula2>
    </dataValidation>
    <dataValidation allowBlank="true" errorStyle="stop" operator="between" prompt="Choose a value from the list" showDropDown="false" showErrorMessage="true" showInputMessage="true" sqref="F4:F11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3" activeCellId="0" sqref="G13"/>
    </sheetView>
  </sheetViews>
  <sheetFormatPr defaultColWidth="14.378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20.75"/>
    <col collapsed="false" customWidth="true" hidden="false" outlineLevel="0" max="10" min="6" style="0" width="17.12"/>
    <col collapsed="false" customWidth="true" hidden="false" outlineLevel="0" max="11" min="11" style="0" width="14.62"/>
    <col collapsed="false" customWidth="true" hidden="false" outlineLevel="0" max="12" min="12" style="0" width="12.25"/>
    <col collapsed="false" customWidth="true" hidden="false" outlineLevel="0" max="13" min="13" style="0" width="12.62"/>
    <col collapsed="false" customWidth="true" hidden="false" outlineLevel="0" max="14" min="14" style="0" width="26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30" hidden="false" customHeight="true" outlineLevel="0" collapsed="false">
      <c r="A3" s="23" t="s">
        <v>3</v>
      </c>
      <c r="B3" s="23" t="s">
        <v>4</v>
      </c>
      <c r="C3" s="23" t="s">
        <v>114</v>
      </c>
      <c r="D3" s="23" t="s">
        <v>115</v>
      </c>
      <c r="E3" s="23" t="s">
        <v>116</v>
      </c>
      <c r="F3" s="23" t="s">
        <v>117</v>
      </c>
      <c r="G3" s="23" t="s">
        <v>118</v>
      </c>
      <c r="H3" s="23" t="s">
        <v>119</v>
      </c>
      <c r="I3" s="23" t="s">
        <v>120</v>
      </c>
      <c r="J3" s="23" t="s">
        <v>121</v>
      </c>
      <c r="K3" s="23" t="s">
        <v>122</v>
      </c>
      <c r="L3" s="23" t="s">
        <v>123</v>
      </c>
      <c r="M3" s="23" t="s">
        <v>124</v>
      </c>
      <c r="N3" s="23" t="s">
        <v>125</v>
      </c>
      <c r="O3" s="23" t="s">
        <v>126</v>
      </c>
    </row>
    <row r="4" customFormat="false" ht="14.25" hidden="false" customHeight="true" outlineLevel="0" collapsed="false">
      <c r="A4" s="24" t="s">
        <v>20</v>
      </c>
      <c r="B4" s="25" t="str">
        <f aca="false">'Project &amp; Task Tracker'!D4</f>
        <v>Sales</v>
      </c>
      <c r="C4" s="24" t="n">
        <f aca="false">IF($A4="",0,COUNTIFS('Project &amp; Task Tracker'!$C$4:$C$56,$A4,'Project &amp; Task Tracker'!$K$4:$K$56,"Yes")+COUNTIFS('Extra Tasks'!$C$3:$C$40,$A4,'Extra Tasks'!$K$3:$K$40,"Yes"))</f>
        <v>0</v>
      </c>
      <c r="D4" s="24" t="str">
        <f aca="false">IF($A4="",0,COUNTIFS('Project &amp; Task Tracker'!$C$4:$C$56,$A4,'Project &amp; Task Tracker'!$J$4:$J$56,"Delayed")+COUNTIFS('Extra Tasks'!$C$3:$C$40,$A4,'Extra Tasks'!$J$3:$J$40,"Delayed"))</f>
        <v>0</v>
      </c>
      <c r="E4" s="26" t="str">
        <f aca="false">IFERROR((SUMIFS('Project &amp; Task Tracker'!$Q$4:$Q$56,'Project &amp; Task Tracker'!$C$4:$C$56,$A4)+SUMIFS('Extra Tasks'!$Q$3:$Q$40,'Extra Tasks'!$C$3:$C$40,$A4))/(COUNTIFS('Project &amp; Task Tracker'!$C$4:$C$56,$A4,'Project &amp; Task Tracker'!$Q$4:$Q$56,"&gt;=0")+COUNTIFS('Extra Tasks'!$C$3:$C$40,$A4,'Extra Tasks'!$Q$3:$Q$40,"&gt;=0")),"")</f>
        <v/>
      </c>
      <c r="F4" s="26"/>
      <c r="G4" s="26"/>
      <c r="H4" s="26"/>
      <c r="I4" s="26"/>
      <c r="J4" s="25"/>
      <c r="K4" s="24" t="n">
        <f aca="false">IF(E4="",0,IF(E4&gt;=1,50,IF(E4&gt;=0.9,30,0)))+IFERROR(J4,0)-D4</f>
        <v>0</v>
      </c>
      <c r="L4" s="27" t="str">
        <f aca="false">IF($A4="","",IF(K4&gt;=50,"Gold",IF(K4&gt;=30,"Silver",IF(K4&gt;=15,"Bronze","No Reward Yet"))))</f>
        <v>No Reward Yet</v>
      </c>
      <c r="M4" s="25"/>
      <c r="N4" s="28"/>
      <c r="O4" s="25"/>
    </row>
    <row r="5" customFormat="false" ht="14.25" hidden="false" customHeight="true" outlineLevel="0" collapsed="false">
      <c r="A5" s="24" t="s">
        <v>29</v>
      </c>
      <c r="B5" s="25" t="e">
        <f aca="false">'Project &amp; Task Tracker'!D5 K:K</f>
        <v>#VALUE!</v>
      </c>
      <c r="C5" s="24" t="n">
        <f aca="false">IF($A5="",0,COUNTIFS('Project &amp; Task Tracker'!$C$4:$C$56,$A5,'Project &amp; Task Tracker'!$K$4:$K$56,"Yes")+COUNTIFS('Extra Tasks'!$C$3:$C$40,$A5,'Extra Tasks'!$K$3:$K$40,"Yes"))</f>
        <v>1</v>
      </c>
      <c r="D5" s="24" t="str">
        <f aca="false">IF($A5="",0,COUNTIFS('Project &amp; Task Tracker'!$C$4:$C$56,$A5,'Project &amp; Task Tracker'!$J$4:$J$56,"Delayed")+COUNTIFS('Extra Tasks'!$C$3:$C$40,$A5,'Extra Tasks'!$J$3:$J$40,"Delayed"))</f>
        <v>0</v>
      </c>
      <c r="E5" s="26" t="str">
        <f aca="false">IFERROR((SUMIFS('Project &amp; Task Tracker'!$Q$4:$Q$56,'Project &amp; Task Tracker'!$C$4:$C$56,$A5)+SUMIFS('Extra Tasks'!$Q$3:$Q$40,'Extra Tasks'!$C$3:$C$40,$A5))/(COUNTIFS('Project &amp; Task Tracker'!$C$4:$C$56,$A5,'Project &amp; Task Tracker'!$Q$4:$Q$56,"&gt;=0")+COUNTIFS('Extra Tasks'!$C$3:$C$40,$A5,'Extra Tasks'!$Q$3:$Q$40,"&gt;=0")),"")</f>
        <v/>
      </c>
      <c r="F5" s="26"/>
      <c r="G5" s="26"/>
      <c r="H5" s="26"/>
      <c r="I5" s="26"/>
      <c r="J5" s="25"/>
      <c r="K5" s="24" t="n">
        <f aca="false">IF(E5="",0,IF(E5&gt;=1,50,IF(E5&gt;=0.9,30,0)))+IFERROR(J5,0)-D5</f>
        <v>0</v>
      </c>
      <c r="L5" s="27" t="str">
        <f aca="false">IF($A5="","",IF(K5&gt;=50,"Gold",IF(K5&gt;=30,"Silver",IF(K5&gt;=15,"Bronze","No Reward Yet"))))</f>
        <v>No Reward Yet</v>
      </c>
      <c r="M5" s="25"/>
      <c r="N5" s="28"/>
      <c r="O5" s="25"/>
    </row>
    <row r="6" customFormat="false" ht="14.25" hidden="false" customHeight="true" outlineLevel="0" collapsed="false">
      <c r="A6" s="24" t="s">
        <v>31</v>
      </c>
      <c r="B6" s="25" t="str">
        <f aca="false">'Project &amp; Task Tracker'!D6</f>
        <v>Sales</v>
      </c>
      <c r="C6" s="24" t="n">
        <f aca="false">IF($A6="",0,COUNTIFS('Project &amp; Task Tracker'!$C$4:$C$56,$A6,'Project &amp; Task Tracker'!$K$4:$K$56,"Yes")+COUNTIFS('Extra Tasks'!$C$3:$C$40,$A6,'Extra Tasks'!$K$3:$K$40,"Yes"))</f>
        <v>0</v>
      </c>
      <c r="D6" s="24" t="str">
        <f aca="false">IF($A6="",0,COUNTIFS('Project &amp; Task Tracker'!$C$4:$C$56,$A6,'Project &amp; Task Tracker'!$J$4:$J$56,"Delayed")+COUNTIFS('Extra Tasks'!$C$3:$C$40,$A6,'Extra Tasks'!$J$3:$J$40,"Delayed"))</f>
        <v>0</v>
      </c>
      <c r="E6" s="26" t="str">
        <f aca="false">IFERROR((SUMIFS('Project &amp; Task Tracker'!$Q$4:$Q$56,'Project &amp; Task Tracker'!$C$4:$C$56,$A6)+SUMIFS('Extra Tasks'!$Q$3:$Q$40,'Extra Tasks'!$C$3:$C$40,$A6))/(COUNTIFS('Project &amp; Task Tracker'!$C$4:$C$56,$A6,'Project &amp; Task Tracker'!$Q$4:$Q$56,"&gt;=0")+COUNTIFS('Extra Tasks'!$C$3:$C$40,$A6,'Extra Tasks'!$Q$3:$Q$40,"&gt;=0")),"")</f>
        <v/>
      </c>
      <c r="F6" s="26"/>
      <c r="G6" s="26"/>
      <c r="H6" s="26"/>
      <c r="I6" s="26"/>
      <c r="J6" s="25"/>
      <c r="K6" s="24" t="n">
        <f aca="false">IF(E6="",0,IF(E6&gt;=1,50,IF(E6&gt;=0.9,30,0)))+IFERROR(J6,0)-D6</f>
        <v>0</v>
      </c>
      <c r="L6" s="27" t="str">
        <f aca="false">IF($A6="","",IF(K6&gt;=50,"Gold",IF(K6&gt;=30,"Silver",IF(K6&gt;=15,"Bronze","No Reward Yet"))))</f>
        <v>No Reward Yet</v>
      </c>
      <c r="M6" s="25"/>
      <c r="N6" s="28"/>
      <c r="O6" s="25"/>
    </row>
    <row r="7" customFormat="false" ht="14.25" hidden="false" customHeight="true" outlineLevel="0" collapsed="false">
      <c r="A7" s="29" t="s">
        <v>34</v>
      </c>
      <c r="B7" s="25" t="str">
        <f aca="false">'Project &amp; Task Tracker'!D7</f>
        <v>Sales</v>
      </c>
      <c r="C7" s="24" t="n">
        <f aca="false">IF($A7="",0,COUNTIFS('Project &amp; Task Tracker'!$C$4:$C$56,$A7,'Project &amp; Task Tracker'!$K$4:$K$56,"Yes")+COUNTIFS('Extra Tasks'!$C$3:$C$40,$A7,'Extra Tasks'!$K$3:$K$40,"Yes"))</f>
        <v>0</v>
      </c>
      <c r="D7" s="24" t="str">
        <f aca="false">IF($A7="",0,COUNTIFS('Project &amp; Task Tracker'!$C$4:$C$56,$A7,'Project &amp; Task Tracker'!$J$4:$J$56,"Delayed")+COUNTIFS('Extra Tasks'!$C$3:$C$40,$A7,'Extra Tasks'!$J$3:$J$40,"Delayed"))</f>
        <v>0</v>
      </c>
      <c r="E7" s="26" t="str">
        <f aca="false">IFERROR((SUMIFS('Project &amp; Task Tracker'!$Q$4:$Q$56,'Project &amp; Task Tracker'!$C$4:$C$56,$A7)+SUMIFS('Extra Tasks'!$Q$3:$Q$40,'Extra Tasks'!$C$3:$C$40,$A7))/(COUNTIFS('Project &amp; Task Tracker'!$C$4:$C$56,$A7,'Project &amp; Task Tracker'!$Q$4:$Q$56,"&gt;=0")+COUNTIFS('Extra Tasks'!$C$3:$C$40,$A7,'Extra Tasks'!$Q$3:$Q$40,"&gt;=0")),"")</f>
        <v/>
      </c>
      <c r="F7" s="26"/>
      <c r="G7" s="26"/>
      <c r="H7" s="26"/>
      <c r="I7" s="26"/>
      <c r="J7" s="25"/>
      <c r="K7" s="24" t="n">
        <f aca="false">IF(E7="",0,IF(E7&gt;=1,50,IF(E7&gt;=0.9,30,0)))+IFERROR(J7,0)-D7</f>
        <v>0</v>
      </c>
      <c r="L7" s="27" t="str">
        <f aca="false">IF($A7="","",IF(K7&gt;=50,"Gold",IF(K7&gt;=30,"Silver",IF(K7&gt;=15,"Bronze","No Reward Yet"))))</f>
        <v>No Reward Yet</v>
      </c>
      <c r="M7" s="25"/>
      <c r="N7" s="28"/>
      <c r="O7" s="25"/>
    </row>
    <row r="8" customFormat="false" ht="14.25" hidden="false" customHeight="true" outlineLevel="0" collapsed="false">
      <c r="A8" s="24" t="s">
        <v>35</v>
      </c>
      <c r="B8" s="25" t="str">
        <f aca="false">'Project &amp; Task Tracker'!D8</f>
        <v>Sales</v>
      </c>
      <c r="C8" s="24" t="n">
        <f aca="false">IF($A8="",0,COUNTIFS('Project &amp; Task Tracker'!$C$4:$C$56,$A8,'Project &amp; Task Tracker'!$K$4:$K$56,"Yes")+COUNTIFS('Extra Tasks'!$C$3:$C$40,$A8,'Extra Tasks'!$K$3:$K$40,"Yes"))</f>
        <v>0</v>
      </c>
      <c r="D8" s="24" t="str">
        <f aca="false">IF($A8="",0,COUNTIFS('Project &amp; Task Tracker'!$C$4:$C$56,$A8,'Project &amp; Task Tracker'!$J$4:$J$56,"Delayed")+COUNTIFS('Extra Tasks'!$C$3:$C$40,$A8,'Extra Tasks'!$J$3:$J$40,"Delayed"))</f>
        <v>0</v>
      </c>
      <c r="E8" s="26" t="str">
        <f aca="false">IFERROR((SUMIFS('Project &amp; Task Tracker'!$Q$4:$Q$56,'Project &amp; Task Tracker'!$C$4:$C$56,$A8)+SUMIFS('Extra Tasks'!$Q$3:$Q$40,'Extra Tasks'!$C$3:$C$40,$A8))/(COUNTIFS('Project &amp; Task Tracker'!$C$4:$C$56,$A8,'Project &amp; Task Tracker'!$Q$4:$Q$56,"&gt;=0")+COUNTIFS('Extra Tasks'!$C$3:$C$40,$A8,'Extra Tasks'!$Q$3:$Q$40,"&gt;=0")),"")</f>
        <v/>
      </c>
      <c r="F8" s="26"/>
      <c r="G8" s="26"/>
      <c r="H8" s="26"/>
      <c r="I8" s="26"/>
      <c r="J8" s="25"/>
      <c r="K8" s="24" t="n">
        <f aca="false">IF(E8="",0,IF(E8&gt;=1,50,IF(E8&gt;=0.9,30,0)))+IFERROR(J8,0)-D8</f>
        <v>0</v>
      </c>
      <c r="L8" s="27" t="str">
        <f aca="false">IF($A8="","",IF(K8&gt;=50,"Gold",IF(K8&gt;=30,"Silver",IF(K8&gt;=15,"Bronze","No Reward Yet"))))</f>
        <v>No Reward Yet</v>
      </c>
      <c r="M8" s="25"/>
      <c r="N8" s="28"/>
      <c r="O8" s="25"/>
    </row>
    <row r="9" customFormat="false" ht="14.25" hidden="false" customHeight="true" outlineLevel="0" collapsed="false">
      <c r="A9" s="24" t="s">
        <v>37</v>
      </c>
      <c r="B9" s="25" t="str">
        <f aca="false">'Project &amp; Task Tracker'!D9</f>
        <v>Sales</v>
      </c>
      <c r="C9" s="24" t="n">
        <f aca="false">IF($A9="",0,COUNTIFS('Project &amp; Task Tracker'!$C$4:$C$56,$A9,'Project &amp; Task Tracker'!$K$4:$K$56,"Yes")+COUNTIFS('Extra Tasks'!$C$3:$C$40,$A9,'Extra Tasks'!$K$3:$K$40,"Yes"))</f>
        <v>0</v>
      </c>
      <c r="D9" s="24" t="str">
        <f aca="false">IF($A9="",0,COUNTIFS('Project &amp; Task Tracker'!$C$4:$C$56,$A9,'Project &amp; Task Tracker'!$J$4:$J$56,"Delayed")+COUNTIFS('Extra Tasks'!$C$3:$C$40,$A9,'Extra Tasks'!$J$3:$J$40,"Delayed"))</f>
        <v>0</v>
      </c>
      <c r="E9" s="26" t="str">
        <f aca="false">IFERROR((SUMIFS('Project &amp; Task Tracker'!$Q$4:$Q$56,'Project &amp; Task Tracker'!$C$4:$C$56,$A9)+SUMIFS('Extra Tasks'!$Q$3:$Q$40,'Extra Tasks'!$C$3:$C$40,$A9))/(COUNTIFS('Project &amp; Task Tracker'!$C$4:$C$56,$A9,'Project &amp; Task Tracker'!$Q$4:$Q$56,"&gt;=0")+COUNTIFS('Extra Tasks'!$C$3:$C$40,$A9,'Extra Tasks'!$Q$3:$Q$40,"&gt;=0")),"")</f>
        <v/>
      </c>
      <c r="F9" s="26"/>
      <c r="G9" s="26"/>
      <c r="H9" s="26"/>
      <c r="I9" s="26"/>
      <c r="J9" s="25"/>
      <c r="K9" s="24" t="n">
        <f aca="false">IF(E9="",0,IF(E9&gt;=1,50,IF(E9&gt;=0.9,30,0)))+IFERROR(J9,0)-D9</f>
        <v>0</v>
      </c>
      <c r="L9" s="27" t="str">
        <f aca="false">IF($A9="","",IF(K9&gt;=50,"Gold",IF(K9&gt;=30,"Silver",IF(K9&gt;=15,"Bronze","No Reward Yet"))))</f>
        <v>No Reward Yet</v>
      </c>
      <c r="M9" s="25"/>
      <c r="N9" s="28"/>
      <c r="O9" s="25"/>
    </row>
    <row r="10" customFormat="false" ht="14.25" hidden="false" customHeight="true" outlineLevel="0" collapsed="false">
      <c r="A10" s="25" t="s">
        <v>40</v>
      </c>
      <c r="B10" s="25" t="str">
        <f aca="false">'Project &amp; Task Tracker'!D10</f>
        <v>Sales</v>
      </c>
      <c r="C10" s="24" t="n">
        <f aca="false">IF($A10="",0,COUNTIFS('Project &amp; Task Tracker'!$C$4:$C$56,$A10,'Project &amp; Task Tracker'!$K$4:$K$56,"Yes")+COUNTIFS('Extra Tasks'!$C$3:$C$40,$A10,'Extra Tasks'!$K$3:$K$40,"Yes"))</f>
        <v>0</v>
      </c>
      <c r="D10" s="24" t="str">
        <f aca="false">IF($A10="",0,COUNTIFS('Project &amp; Task Tracker'!$C$4:$C$56,$A10,'Project &amp; Task Tracker'!$J$4:$J$56,"Delayed")+COUNTIFS('Extra Tasks'!$C$3:$C$40,$A10,'Extra Tasks'!$J$3:$J$40,"Delayed"))</f>
        <v>0</v>
      </c>
      <c r="E10" s="26" t="str">
        <f aca="false">IFERROR((SUMIFS('Project &amp; Task Tracker'!$Q$4:$Q$56,'Project &amp; Task Tracker'!$C$4:$C$56,$A10)+SUMIFS('Extra Tasks'!$Q$3:$Q$40,'Extra Tasks'!$C$3:$C$40,$A10))/(COUNTIFS('Project &amp; Task Tracker'!$C$4:$C$56,$A10,'Project &amp; Task Tracker'!$Q$4:$Q$56,"&gt;=0")+COUNTIFS('Extra Tasks'!$C$3:$C$40,$A10,'Extra Tasks'!$Q$3:$Q$40,"&gt;=0")),"")</f>
        <v/>
      </c>
      <c r="F10" s="26"/>
      <c r="G10" s="26"/>
      <c r="H10" s="26"/>
      <c r="I10" s="26"/>
      <c r="J10" s="25"/>
      <c r="K10" s="24" t="n">
        <f aca="false">IF(E10="",0,IF(E10&gt;=1,50,IF(E10&gt;=0.9,30,0)))+IFERROR(J10,0)-D10</f>
        <v>0</v>
      </c>
      <c r="L10" s="27" t="str">
        <f aca="false">IF($A10="","",IF(K10&gt;=50,"Gold",IF(K10&gt;=30,"Silver",IF(K10&gt;=15,"Bronze","No Reward Yet"))))</f>
        <v>No Reward Yet</v>
      </c>
      <c r="M10" s="25"/>
      <c r="N10" s="28"/>
      <c r="O10" s="25"/>
    </row>
    <row r="11" customFormat="false" ht="14.25" hidden="false" customHeight="true" outlineLevel="0" collapsed="false">
      <c r="A11" s="25" t="s">
        <v>41</v>
      </c>
      <c r="B11" s="25" t="str">
        <f aca="false">'Project &amp; Task Tracker'!D11</f>
        <v>Sales</v>
      </c>
      <c r="C11" s="24" t="n">
        <f aca="false">IF($A11="",0,COUNTIFS('Project &amp; Task Tracker'!$C$4:$C$56,$A11,'Project &amp; Task Tracker'!$K$4:$K$56,"Yes")+COUNTIFS('Extra Tasks'!$C$3:$C$40,$A11,'Extra Tasks'!$K$3:$K$40,"Yes"))</f>
        <v>0</v>
      </c>
      <c r="D11" s="24" t="str">
        <f aca="false">IF($A11="",0,COUNTIFS('Project &amp; Task Tracker'!$C$4:$C$56,$A11,'Project &amp; Task Tracker'!$J$4:$J$56,"Delayed")+COUNTIFS('Extra Tasks'!$C$3:$C$40,$A11,'Extra Tasks'!$J$3:$J$40,"Delayed"))</f>
        <v>0</v>
      </c>
      <c r="E11" s="26" t="str">
        <f aca="false">IFERROR((SUMIFS('Project &amp; Task Tracker'!$Q$4:$Q$56,'Project &amp; Task Tracker'!$C$4:$C$56,$A11)+SUMIFS('Extra Tasks'!$Q$3:$Q$40,'Extra Tasks'!$C$3:$C$40,$A11))/(COUNTIFS('Project &amp; Task Tracker'!$C$4:$C$56,$A11,'Project &amp; Task Tracker'!$Q$4:$Q$56,"&gt;=0")+COUNTIFS('Extra Tasks'!$C$3:$C$40,$A11,'Extra Tasks'!$Q$3:$Q$40,"&gt;=0")),"")</f>
        <v/>
      </c>
      <c r="F11" s="26"/>
      <c r="G11" s="26"/>
      <c r="H11" s="26"/>
      <c r="I11" s="26"/>
      <c r="J11" s="25"/>
      <c r="K11" s="24" t="n">
        <f aca="false">IF(E11="",0,IF(E11&gt;=1,50,IF(E11&gt;=0.9,30,0)))+IFERROR(J11,0)-D11</f>
        <v>0</v>
      </c>
      <c r="L11" s="27" t="str">
        <f aca="false">IF($A11="","",IF(K11&gt;=50,"Gold",IF(K11&gt;=30,"Silver",IF(K11&gt;=15,"Bronze","No Reward Yet"))))</f>
        <v>No Reward Yet</v>
      </c>
      <c r="M11" s="25"/>
      <c r="N11" s="28"/>
      <c r="O11" s="25"/>
    </row>
    <row r="12" customFormat="false" ht="14.25" hidden="false" customHeight="true" outlineLevel="0" collapsed="false">
      <c r="A12" s="25" t="s">
        <v>42</v>
      </c>
      <c r="B12" s="25" t="str">
        <f aca="false">'Project &amp; Task Tracker'!D12</f>
        <v>Sales</v>
      </c>
      <c r="C12" s="24" t="n">
        <f aca="false">IF($A12="",0,COUNTIFS('Project &amp; Task Tracker'!$C$4:$C$56,$A12,'Project &amp; Task Tracker'!$K$4:$K$56,"Yes")+COUNTIFS('Extra Tasks'!$C$3:$C$40,$A12,'Extra Tasks'!$K$3:$K$40,"Yes"))</f>
        <v>0</v>
      </c>
      <c r="D12" s="24" t="str">
        <f aca="false">IF($A12="",0,COUNTIFS('Project &amp; Task Tracker'!$C$4:$C$56,$A12,'Project &amp; Task Tracker'!$J$4:$J$56,"Delayed")+COUNTIFS('Extra Tasks'!$C$3:$C$40,$A12,'Extra Tasks'!$J$3:$J$40,"Delayed"))</f>
        <v>0</v>
      </c>
      <c r="E12" s="26" t="str">
        <f aca="false">IFERROR((SUMIFS('Project &amp; Task Tracker'!$Q$4:$Q$56,'Project &amp; Task Tracker'!$C$4:$C$56,$A12)+SUMIFS('Extra Tasks'!$Q$3:$Q$40,'Extra Tasks'!$C$3:$C$40,$A12))/(COUNTIFS('Project &amp; Task Tracker'!$C$4:$C$56,$A12,'Project &amp; Task Tracker'!$Q$4:$Q$56,"&gt;=0")+COUNTIFS('Extra Tasks'!$C$3:$C$40,$A12,'Extra Tasks'!$Q$3:$Q$40,"&gt;=0")),"")</f>
        <v/>
      </c>
      <c r="F12" s="26"/>
      <c r="G12" s="26"/>
      <c r="H12" s="26"/>
      <c r="I12" s="26"/>
      <c r="J12" s="25"/>
      <c r="K12" s="24" t="n">
        <f aca="false">IF(E12="",0,IF(E12&gt;=1,50,IF(E12&gt;=0.9,30,0)))+IFERROR(J12,0)-D12</f>
        <v>0</v>
      </c>
      <c r="L12" s="27" t="str">
        <f aca="false">IF($A12="","",IF(K12&gt;=50,"Gold",IF(K12&gt;=30,"Silver",IF(K12&gt;=15,"Bronze","No Reward Yet"))))</f>
        <v>No Reward Yet</v>
      </c>
      <c r="M12" s="25"/>
      <c r="N12" s="28"/>
      <c r="O12" s="25"/>
    </row>
    <row r="13" customFormat="false" ht="14.25" hidden="false" customHeight="true" outlineLevel="0" collapsed="false">
      <c r="A13" s="25" t="s">
        <v>44</v>
      </c>
      <c r="B13" s="25" t="str">
        <f aca="false">'Extra Tasks'!D35</f>
        <v>Sales</v>
      </c>
      <c r="C13" s="24" t="n">
        <f aca="false">IF($A13="",0,COUNTIFS('Project &amp; Task Tracker'!$C$4:$C$56,$A13,'Project &amp; Task Tracker'!$K$4:$K$56,"Yes")+COUNTIFS('Extra Tasks'!$C$3:$C$40,$A13,'Extra Tasks'!$K$3:$K$40,"Yes"))</f>
        <v>0</v>
      </c>
      <c r="D13" s="24" t="str">
        <f aca="false">IF($A13="",0,COUNTIFS('Project &amp; Task Tracker'!$C$4:$C$56,$A13,'Project &amp; Task Tracker'!$J$4:$J$56,"Delayed")+COUNTIFS('Extra Tasks'!$C$3:$C$40,$A13,'Extra Tasks'!$J$3:$J$40,"Delayed"))</f>
        <v>0</v>
      </c>
      <c r="E13" s="26" t="str">
        <f aca="false">IFERROR((SUMIFS('Project &amp; Task Tracker'!$Q$4:$Q$56,'Project &amp; Task Tracker'!$C$4:$C$56,$A13)+SUMIFS('Extra Tasks'!$Q$3:$Q$40,'Extra Tasks'!$C$3:$C$40,$A13))/(COUNTIFS('Project &amp; Task Tracker'!$C$4:$C$56,$A13,'Project &amp; Task Tracker'!$Q$4:$Q$56,"&gt;=0")+COUNTIFS('Extra Tasks'!$C$3:$C$40,$A13,'Extra Tasks'!$Q$3:$Q$40,"&gt;=0")),"")</f>
        <v/>
      </c>
      <c r="F13" s="26"/>
      <c r="G13" s="26"/>
      <c r="H13" s="26"/>
      <c r="I13" s="26"/>
      <c r="J13" s="25"/>
      <c r="K13" s="24" t="n">
        <f aca="false">IF(E13="",0,IF(E13&gt;=1,50,IF(E13&gt;=0.9,30,0)))+IFERROR(J13,0)-D13</f>
        <v>0</v>
      </c>
      <c r="L13" s="27" t="str">
        <f aca="false">IF($A13="","",IF(K13&gt;=50,"Gold",IF(K13&gt;=30,"Silver",IF(K13&gt;=15,"Bronze","No Reward Yet"))))</f>
        <v>No Reward Yet</v>
      </c>
      <c r="M13" s="25"/>
      <c r="N13" s="28"/>
      <c r="O13" s="25"/>
    </row>
    <row r="14" customFormat="false" ht="14.25" hidden="false" customHeight="true" outlineLevel="0" collapsed="false">
      <c r="A14" s="4" t="s">
        <v>48</v>
      </c>
      <c r="B14" s="25" t="str">
        <f aca="false">'Extra Tasks'!D36</f>
        <v>Sales</v>
      </c>
      <c r="C14" s="24" t="n">
        <f aca="false">IF($A14="",0,COUNTIFS('Project &amp; Task Tracker'!$C$4:$C$56,$A14,'Project &amp; Task Tracker'!$K$4:$K$56,"Yes")+COUNTIFS('Extra Tasks'!$C$3:$C$40,$A14,'Extra Tasks'!$K$3:$K$40,"Yes"))</f>
        <v>3</v>
      </c>
      <c r="D14" s="24" t="str">
        <f aca="false">IF($A14="",0,COUNTIFS('Project &amp; Task Tracker'!$C$4:$C$56,$A14,'Project &amp; Task Tracker'!$J$4:$J$56,"Delayed")+COUNTIFS('Extra Tasks'!$C$3:$C$40,$A14,'Extra Tasks'!$J$3:$J$40,"Delayed"))</f>
        <v>0</v>
      </c>
      <c r="E14" s="26" t="str">
        <f aca="false">IFERROR((SUMIFS('Project &amp; Task Tracker'!$Q$4:$Q$56,'Project &amp; Task Tracker'!$C$4:$C$56,$A14)+SUMIFS('Extra Tasks'!$Q$3:$Q$40,'Extra Tasks'!$C$3:$C$40,$A14))/(COUNTIFS('Project &amp; Task Tracker'!$C$4:$C$56,$A14,'Project &amp; Task Tracker'!$Q$4:$Q$56,"&gt;=0")+COUNTIFS('Extra Tasks'!$C$3:$C$40,$A14,'Extra Tasks'!$Q$3:$Q$40,"&gt;=0")),"")</f>
        <v/>
      </c>
      <c r="F14" s="26"/>
      <c r="G14" s="26"/>
      <c r="H14" s="26"/>
      <c r="I14" s="26"/>
      <c r="J14" s="25"/>
      <c r="K14" s="24" t="n">
        <f aca="false">IF(E14="",0,IF(E14&gt;=1,50,IF(E14&gt;=0.9,30,0)))+IFERROR(J14,0)-D14</f>
        <v>0</v>
      </c>
      <c r="L14" s="27" t="str">
        <f aca="false">IF($A14="","",IF(K14&gt;=50,"Gold",IF(K14&gt;=30,"Silver",IF(K14&gt;=15,"Bronze","No Reward Yet"))))</f>
        <v>No Reward Yet</v>
      </c>
      <c r="M14" s="25"/>
      <c r="N14" s="28"/>
      <c r="O14" s="25"/>
    </row>
    <row r="15" customFormat="false" ht="14.25" hidden="false" customHeight="true" outlineLevel="0" collapsed="false">
      <c r="A15" s="25" t="s">
        <v>51</v>
      </c>
      <c r="B15" s="25" t="str">
        <f aca="false">'Project &amp; Task Tracker'!D13</f>
        <v>Sales</v>
      </c>
      <c r="C15" s="24" t="n">
        <f aca="false">IF($A15="",0,COUNTIFS('Project &amp; Task Tracker'!$C$4:$C$56,$A15,'Project &amp; Task Tracker'!$K$4:$K$56,"Yes")+COUNTIFS('Extra Tasks'!$C$3:$C$40,$A15,'Extra Tasks'!$K$3:$K$40,"Yes"))</f>
        <v>1</v>
      </c>
      <c r="D15" s="24" t="str">
        <f aca="false">IF($A15="",0,COUNTIFS('Project &amp; Task Tracker'!$C$4:$C$56,$A15,'Project &amp; Task Tracker'!$J$4:$J$56,"Delayed")+COUNTIFS('Extra Tasks'!$C$3:$C$40,$A15,'Extra Tasks'!$J$3:$J$40,"Delayed"))</f>
        <v>0</v>
      </c>
      <c r="E15" s="26" t="str">
        <f aca="false">IFERROR((SUMIFS('Project &amp; Task Tracker'!$Q$4:$Q$56,'Project &amp; Task Tracker'!$C$4:$C$56,$A15)+SUMIFS('Extra Tasks'!$Q$3:$Q$40,'Extra Tasks'!$C$3:$C$40,$A15))/(COUNTIFS('Project &amp; Task Tracker'!$C$4:$C$56,$A15,'Project &amp; Task Tracker'!$Q$4:$Q$56,"&gt;=0")+COUNTIFS('Extra Tasks'!$C$3:$C$40,$A15,'Extra Tasks'!$Q$3:$Q$40,"&gt;=0")),"")</f>
        <v/>
      </c>
      <c r="F15" s="26"/>
      <c r="G15" s="26"/>
      <c r="H15" s="26"/>
      <c r="I15" s="26"/>
      <c r="J15" s="25"/>
      <c r="K15" s="24" t="n">
        <f aca="false">IF(E15="",0,IF(E15&gt;=1,50,IF(E15&gt;=0.9,30,0)))+IFERROR(J15,0)-D15</f>
        <v>0</v>
      </c>
      <c r="L15" s="27" t="str">
        <f aca="false">IF($A15="","",IF(K15&gt;=50,"Gold",IF(K15&gt;=30,"Silver",IF(K15&gt;=15,"Bronze","No Reward Yet"))))</f>
        <v>No Reward Yet</v>
      </c>
      <c r="M15" s="25"/>
      <c r="N15" s="28"/>
      <c r="O15" s="25"/>
    </row>
    <row r="16" customFormat="false" ht="14.25" hidden="false" customHeight="true" outlineLevel="0" collapsed="false">
      <c r="A16" s="4" t="s">
        <v>22</v>
      </c>
      <c r="B16" s="25" t="str">
        <f aca="false">'Project &amp; Task Tracker'!D14</f>
        <v>Sales</v>
      </c>
      <c r="C16" s="24" t="n">
        <f aca="false">IF($A16="",0,COUNTIFS('Project &amp; Task Tracker'!$C$4:$C$56,$A16,'Project &amp; Task Tracker'!$K$4:$K$56,"Yes")+COUNTIFS('Extra Tasks'!$C$3:$C$40,$A16,'Extra Tasks'!$K$3:$K$40,"Yes"))</f>
        <v>3</v>
      </c>
      <c r="D16" s="24" t="str">
        <f aca="false">IF($A16="",0,COUNTIFS('Project &amp; Task Tracker'!$C$4:$C$56,$A16,'Project &amp; Task Tracker'!$J$4:$J$56,"Delayed")+COUNTIFS('Extra Tasks'!$C$3:$C$40,$A16,'Extra Tasks'!$J$3:$J$40,"Delayed"))</f>
        <v>0</v>
      </c>
      <c r="E16" s="26" t="str">
        <f aca="false">IFERROR((SUMIFS('Project &amp; Task Tracker'!$Q$4:$Q$56,'Project &amp; Task Tracker'!$C$4:$C$56,$A16)+SUMIFS('Extra Tasks'!$Q$3:$Q$40,'Extra Tasks'!$C$3:$C$40,$A16))/(COUNTIFS('Project &amp; Task Tracker'!$C$4:$C$56,$A16,'Project &amp; Task Tracker'!$Q$4:$Q$56,"&gt;=0")+COUNTIFS('Extra Tasks'!$C$3:$C$40,$A16,'Extra Tasks'!$Q$3:$Q$40,"&gt;=0")),"")</f>
        <v/>
      </c>
      <c r="F16" s="26"/>
      <c r="G16" s="26"/>
      <c r="H16" s="26"/>
      <c r="I16" s="26"/>
      <c r="J16" s="25"/>
      <c r="K16" s="24" t="n">
        <f aca="false">IF(E16="",0,IF(E16&gt;=1,50,IF(E16&gt;=0.9,30,0)))+IFERROR(J16,0)-D16</f>
        <v>0</v>
      </c>
      <c r="L16" s="27" t="str">
        <f aca="false">IF($A16="","",IF(K16&gt;=50,"Gold",IF(K16&gt;=30,"Silver",IF(K16&gt;=15,"Bronze","No Reward Yet"))))</f>
        <v>No Reward Yet</v>
      </c>
      <c r="M16" s="25"/>
      <c r="N16" s="28"/>
      <c r="O16" s="25"/>
    </row>
    <row r="17" customFormat="false" ht="14.25" hidden="false" customHeight="true" outlineLevel="0" collapsed="false">
      <c r="A17" s="25" t="s">
        <v>60</v>
      </c>
      <c r="B17" s="25" t="str">
        <f aca="false">'Project &amp; Task Tracker'!D15</f>
        <v>Sales</v>
      </c>
      <c r="C17" s="24" t="n">
        <f aca="false">IF($A17="",0,COUNTIFS('Project &amp; Task Tracker'!$C$4:$C$56,$A17,'Project &amp; Task Tracker'!$K$4:$K$56,"Yes")+COUNTIFS('Extra Tasks'!$C$3:$C$40,$A17,'Extra Tasks'!$K$3:$K$40,"Yes"))</f>
        <v>0</v>
      </c>
      <c r="D17" s="24" t="str">
        <f aca="false">IF($A17="",0,COUNTIFS('Project &amp; Task Tracker'!$C$4:$C$56,$A17,'Project &amp; Task Tracker'!$J$4:$J$56,"Delayed")+COUNTIFS('Extra Tasks'!$C$3:$C$40,$A17,'Extra Tasks'!$J$3:$J$40,"Delayed"))</f>
        <v>0</v>
      </c>
      <c r="E17" s="26" t="str">
        <f aca="false">IFERROR((SUMIFS('Project &amp; Task Tracker'!$Q$4:$Q$56,'Project &amp; Task Tracker'!$C$4:$C$56,$A17)+SUMIFS('Extra Tasks'!$Q$3:$Q$40,'Extra Tasks'!$C$3:$C$40,$A17))/(COUNTIFS('Project &amp; Task Tracker'!$C$4:$C$56,$A17,'Project &amp; Task Tracker'!$Q$4:$Q$56,"&gt;=0")+COUNTIFS('Extra Tasks'!$C$3:$C$40,$A17,'Extra Tasks'!$Q$3:$Q$40,"&gt;=0")),"")</f>
        <v/>
      </c>
      <c r="F17" s="26"/>
      <c r="G17" s="26"/>
      <c r="H17" s="26"/>
      <c r="I17" s="26"/>
      <c r="J17" s="25"/>
      <c r="K17" s="24" t="n">
        <f aca="false">IF(E17="",0,IF(E17&gt;=1,50,IF(E17&gt;=0.9,30,0)))+IFERROR(J17,0)-D17</f>
        <v>0</v>
      </c>
      <c r="L17" s="27" t="str">
        <f aca="false">IF($A17="","",IF(K17&gt;=50,"Gold",IF(K17&gt;=30,"Silver",IF(K17&gt;=15,"Bronze","No Reward Yet"))))</f>
        <v>No Reward Yet</v>
      </c>
      <c r="M17" s="25"/>
      <c r="N17" s="28"/>
      <c r="O17" s="25"/>
    </row>
    <row r="18" customFormat="false" ht="14.25" hidden="false" customHeight="true" outlineLevel="0" collapsed="false">
      <c r="A18" s="3" t="s">
        <v>64</v>
      </c>
      <c r="B18" s="25" t="str">
        <f aca="false">'Project &amp; Task Tracker'!D16</f>
        <v>Sales</v>
      </c>
      <c r="C18" s="24" t="n">
        <f aca="false">IF($A18="",0,COUNTIFS('Project &amp; Task Tracker'!$C$4:$C$56,$A18,'Project &amp; Task Tracker'!$K$4:$K$56,"Yes")+COUNTIFS('Extra Tasks'!$C$3:$C$40,$A18,'Extra Tasks'!$K$3:$K$40,"Yes"))</f>
        <v>0</v>
      </c>
      <c r="D18" s="24" t="str">
        <f aca="false">IF($A18="",0,COUNTIFS('Project &amp; Task Tracker'!$C$4:$C$56,$A18,'Project &amp; Task Tracker'!$J$4:$J$56,"Delayed")+COUNTIFS('Extra Tasks'!$C$3:$C$40,$A18,'Extra Tasks'!$J$3:$J$40,"Delayed"))</f>
        <v>0</v>
      </c>
      <c r="E18" s="26" t="str">
        <f aca="false">IFERROR((SUMIFS('Project &amp; Task Tracker'!$Q$4:$Q$56,'Project &amp; Task Tracker'!$C$4:$C$56,$A18)+SUMIFS('Extra Tasks'!$Q$3:$Q$40,'Extra Tasks'!$C$3:$C$40,$A18))/(COUNTIFS('Project &amp; Task Tracker'!$C$4:$C$56,$A18,'Project &amp; Task Tracker'!$Q$4:$Q$56,"&gt;=0")+COUNTIFS('Extra Tasks'!$C$3:$C$40,$A18,'Extra Tasks'!$Q$3:$Q$40,"&gt;=0")),"")</f>
        <v/>
      </c>
      <c r="F18" s="26"/>
      <c r="G18" s="26"/>
      <c r="H18" s="26"/>
      <c r="I18" s="26"/>
      <c r="J18" s="25"/>
      <c r="K18" s="24" t="n">
        <f aca="false">IF(E18="",0,IF(E18&gt;=1,50,IF(E18&gt;=0.9,30,0)))+IFERROR(J18,0)-D18</f>
        <v>0</v>
      </c>
      <c r="L18" s="27" t="str">
        <f aca="false">IF($A18="","",IF(K18&gt;=50,"Gold",IF(K18&gt;=30,"Silver",IF(K18&gt;=15,"Bronze","No Reward Yet"))))</f>
        <v>No Reward Yet</v>
      </c>
      <c r="M18" s="25"/>
      <c r="N18" s="28"/>
      <c r="O18" s="25"/>
    </row>
    <row r="19" customFormat="false" ht="14.25" hidden="false" customHeight="true" outlineLevel="0" collapsed="false">
      <c r="A19" s="12" t="s">
        <v>68</v>
      </c>
      <c r="B19" s="25" t="str">
        <f aca="false">'Project &amp; Task Tracker'!D17</f>
        <v>Sales</v>
      </c>
      <c r="C19" s="24" t="n">
        <f aca="false">IF($A19="",0,COUNTIFS('Project &amp; Task Tracker'!$C$4:$C$56,$A19,'Project &amp; Task Tracker'!$K$4:$K$56,"Yes")+COUNTIFS('Extra Tasks'!$C$3:$C$40,$A19,'Extra Tasks'!$K$3:$K$40,"Yes"))</f>
        <v>0</v>
      </c>
      <c r="D19" s="24" t="str">
        <f aca="false">IF($A19="",0,COUNTIFS('Project &amp; Task Tracker'!$C$4:$C$56,$A19,'Project &amp; Task Tracker'!$J$4:$J$56,"Delayed")+COUNTIFS('Extra Tasks'!$C$3:$C$40,$A19,'Extra Tasks'!$J$3:$J$40,"Delayed"))</f>
        <v>0</v>
      </c>
      <c r="E19" s="26" t="str">
        <f aca="false">IFERROR((SUMIFS('Project &amp; Task Tracker'!$Q$4:$Q$56,'Project &amp; Task Tracker'!$C$4:$C$56,$A19)+SUMIFS('Extra Tasks'!$Q$3:$Q$40,'Extra Tasks'!$C$3:$C$40,$A19))/(COUNTIFS('Project &amp; Task Tracker'!$C$4:$C$56,$A19,'Project &amp; Task Tracker'!$Q$4:$Q$56,"&gt;=0")+COUNTIFS('Extra Tasks'!$C$3:$C$40,$A19,'Extra Tasks'!$Q$3:$Q$40,"&gt;=0")),"")</f>
        <v/>
      </c>
      <c r="F19" s="26"/>
      <c r="G19" s="26"/>
      <c r="H19" s="26"/>
      <c r="I19" s="26"/>
      <c r="J19" s="25"/>
      <c r="K19" s="24" t="n">
        <f aca="false">IF(E19="",0,IF(E19&gt;=1,50,IF(E19&gt;=0.9,30,0)))+IFERROR(J19,0)-D19</f>
        <v>0</v>
      </c>
      <c r="L19" s="27" t="str">
        <f aca="false">IF($A19="","",IF(K19&gt;=50,"Gold",IF(K19&gt;=30,"Silver",IF(K19&gt;=15,"Bronze","No Reward Yet"))))</f>
        <v>No Reward Yet</v>
      </c>
      <c r="M19" s="25"/>
      <c r="N19" s="28"/>
      <c r="O19" s="25"/>
    </row>
    <row r="20" customFormat="false" ht="14.25" hidden="false" customHeight="true" outlineLevel="0" collapsed="false">
      <c r="A20" s="10" t="s">
        <v>73</v>
      </c>
      <c r="B20" s="25" t="str">
        <f aca="false">'Project &amp; Task Tracker'!D18</f>
        <v>Sales</v>
      </c>
      <c r="C20" s="24" t="n">
        <f aca="false">IF($A20="",0,COUNTIFS('Project &amp; Task Tracker'!$C$4:$C$56,$A20,'Project &amp; Task Tracker'!$K$4:$K$56,"Yes")+COUNTIFS('Extra Tasks'!$C$3:$C$40,$A20,'Extra Tasks'!$K$3:$K$40,"Yes"))</f>
        <v>0</v>
      </c>
      <c r="D20" s="24" t="str">
        <f aca="false">IF($A20="",0,COUNTIFS('Project &amp; Task Tracker'!$C$4:$C$56,$A20,'Project &amp; Task Tracker'!$J$4:$J$56,"Delayed")+COUNTIFS('Extra Tasks'!$C$3:$C$40,$A20,'Extra Tasks'!$J$3:$J$40,"Delayed"))</f>
        <v>0</v>
      </c>
      <c r="E20" s="26" t="str">
        <f aca="false">IFERROR((SUMIFS('Project &amp; Task Tracker'!$Q$4:$Q$56,'Project &amp; Task Tracker'!$C$4:$C$56,$A20)+SUMIFS('Extra Tasks'!$Q$3:$Q$40,'Extra Tasks'!$C$3:$C$40,$A20))/(COUNTIFS('Project &amp; Task Tracker'!$C$4:$C$56,$A20,'Project &amp; Task Tracker'!$Q$4:$Q$56,"&gt;=0")+COUNTIFS('Extra Tasks'!$C$3:$C$40,$A20,'Extra Tasks'!$Q$3:$Q$40,"&gt;=0")),"")</f>
        <v/>
      </c>
      <c r="F20" s="26"/>
      <c r="G20" s="26"/>
      <c r="H20" s="26"/>
      <c r="I20" s="26"/>
      <c r="J20" s="25"/>
      <c r="K20" s="24" t="n">
        <f aca="false">IF(E20="",0,IF(E20&gt;=1,50,IF(E20&gt;=0.9,30,0)))+IFERROR(J20,0)-D20</f>
        <v>0</v>
      </c>
      <c r="L20" s="27" t="str">
        <f aca="false">IF($A20="","",IF(K20&gt;=50,"Gold",IF(K20&gt;=30,"Silver",IF(K20&gt;=15,"Bronze","No Reward Yet"))))</f>
        <v>No Reward Yet</v>
      </c>
      <c r="M20" s="25"/>
      <c r="N20" s="28"/>
      <c r="O20" s="25"/>
    </row>
    <row r="21" customFormat="false" ht="14.25" hidden="false" customHeight="true" outlineLevel="0" collapsed="false">
      <c r="A21" s="25" t="s">
        <v>127</v>
      </c>
      <c r="B21" s="25" t="str">
        <f aca="false">'Project &amp; Task Tracker'!D19</f>
        <v>Sales</v>
      </c>
      <c r="C21" s="24" t="n">
        <f aca="false">IF($A21="",0,COUNTIFS('Project &amp; Task Tracker'!$C$4:$C$56,$A21,'Project &amp; Task Tracker'!$K$4:$K$56,"Yes")+COUNTIFS('Extra Tasks'!$C$3:$C$40,$A21,'Extra Tasks'!$K$3:$K$40,"Yes"))</f>
        <v>0</v>
      </c>
      <c r="D21" s="24" t="str">
        <f aca="false">IF($A21="",0,COUNTIFS('Project &amp; Task Tracker'!$C$4:$C$56,$A21,'Project &amp; Task Tracker'!$J$4:$J$56,"Delayed")+COUNTIFS('Extra Tasks'!$C$3:$C$40,$A21,'Extra Tasks'!$J$3:$J$40,"Delayed"))</f>
        <v>0</v>
      </c>
      <c r="E21" s="26" t="str">
        <f aca="false">IFERROR((SUMIFS('Project &amp; Task Tracker'!$Q$4:$Q$56,'Project &amp; Task Tracker'!$C$4:$C$56,$A21)+SUMIFS('Extra Tasks'!$Q$3:$Q$40,'Extra Tasks'!$C$3:$C$40,$A21))/(COUNTIFS('Project &amp; Task Tracker'!$C$4:$C$56,$A21,'Project &amp; Task Tracker'!$Q$4:$Q$56,"&gt;=0")+COUNTIFS('Extra Tasks'!$C$3:$C$40,$A21,'Extra Tasks'!$Q$3:$Q$40,"&gt;=0")),"")</f>
        <v/>
      </c>
      <c r="F21" s="26"/>
      <c r="G21" s="26"/>
      <c r="H21" s="26"/>
      <c r="I21" s="26"/>
      <c r="J21" s="25"/>
      <c r="K21" s="24" t="n">
        <f aca="false">C21*5-D21*2+IF(E21="",0,IF(E21&gt;=1,10,IF(E21&gt;=0.9,5,0)))+IFERROR(J21,0)</f>
        <v>0</v>
      </c>
      <c r="L21" s="27" t="str">
        <f aca="false">IF($A21="","",IF(K21&gt;=50,"Gold",IF(K21&gt;=30,"Silver",IF(K21&gt;=15,"Bronze","No Reward Yet"))))</f>
        <v>No Reward Yet</v>
      </c>
      <c r="M21" s="25"/>
      <c r="N21" s="28"/>
      <c r="O21" s="25"/>
    </row>
    <row r="22" customFormat="false" ht="14.25" hidden="false" customHeight="true" outlineLevel="0" collapsed="false">
      <c r="A22" s="25" t="s">
        <v>96</v>
      </c>
      <c r="B22" s="25" t="str">
        <f aca="false">'Project &amp; Task Tracker'!D20</f>
        <v>Sales</v>
      </c>
      <c r="C22" s="24" t="n">
        <f aca="false">IF($A22="",0,COUNTIFS('Project &amp; Task Tracker'!$C$4:$C$56,$A22,'Project &amp; Task Tracker'!$K$4:$K$56,"Yes")+COUNTIFS('Extra Tasks'!$C$3:$C$40,$A22,'Extra Tasks'!$K$3:$K$40,"Yes"))</f>
        <v>0</v>
      </c>
      <c r="D22" s="24" t="str">
        <f aca="false">IF($A22="",0,COUNTIFS('Project &amp; Task Tracker'!$C$4:$C$56,$A22,'Project &amp; Task Tracker'!$J$4:$J$56,"Delayed")+COUNTIFS('Extra Tasks'!$C$3:$C$40,$A22,'Extra Tasks'!$J$3:$J$40,"Delayed"))</f>
        <v>0</v>
      </c>
      <c r="E22" s="26" t="str">
        <f aca="false">IFERROR((SUMIFS('Project &amp; Task Tracker'!$Q$4:$Q$56,'Project &amp; Task Tracker'!$C$4:$C$56,$A22)+SUMIFS('Extra Tasks'!$Q$3:$Q$40,'Extra Tasks'!$C$3:$C$40,$A22))/(COUNTIFS('Project &amp; Task Tracker'!$C$4:$C$56,$A22,'Project &amp; Task Tracker'!$Q$4:$Q$56,"&gt;=0")+COUNTIFS('Extra Tasks'!$C$3:$C$40,$A22,'Extra Tasks'!$Q$3:$Q$40,"&gt;=0")),"")</f>
        <v/>
      </c>
      <c r="F22" s="26"/>
      <c r="G22" s="26"/>
      <c r="H22" s="26"/>
      <c r="I22" s="26"/>
      <c r="J22" s="25"/>
      <c r="K22" s="24" t="n">
        <f aca="false">C22*5-D22*2+IF(E22="",0,IF(E22&gt;=1,10,IF(E22&gt;=0.9,5,0)))+IFERROR(J22,0)</f>
        <v>0</v>
      </c>
      <c r="L22" s="27" t="str">
        <f aca="false">IF($A22="","",IF(K22&gt;=50,"Gold",IF(K22&gt;=30,"Silver",IF(K22&gt;=15,"Bronze","No Reward Yet"))))</f>
        <v>No Reward Yet</v>
      </c>
      <c r="M22" s="25"/>
      <c r="N22" s="28"/>
      <c r="O22" s="25"/>
    </row>
    <row r="23" customFormat="false" ht="14.25" hidden="false" customHeight="true" outlineLevel="0" collapsed="false">
      <c r="A23" s="25" t="s">
        <v>98</v>
      </c>
      <c r="B23" s="25" t="str">
        <f aca="false">'Project &amp; Task Tracker'!D21</f>
        <v>Sales</v>
      </c>
      <c r="C23" s="24" t="n">
        <f aca="false">IF($A23="",0,COUNTIFS('Project &amp; Task Tracker'!$C$4:$C$56,$A23,'Project &amp; Task Tracker'!$K$4:$K$56,"Yes")+COUNTIFS('Extra Tasks'!$C$3:$C$40,$A23,'Extra Tasks'!$K$3:$K$40,"Yes"))</f>
        <v>0</v>
      </c>
      <c r="D23" s="24" t="str">
        <f aca="false">IF($A23="",0,COUNTIFS('Project &amp; Task Tracker'!$C$4:$C$56,$A23,'Project &amp; Task Tracker'!$J$4:$J$56,"Delayed")+COUNTIFS('Extra Tasks'!$C$3:$C$40,$A23,'Extra Tasks'!$J$3:$J$40,"Delayed"))</f>
        <v>0</v>
      </c>
      <c r="E23" s="26" t="str">
        <f aca="false">IFERROR((SUMIFS('Project &amp; Task Tracker'!$Q$4:$Q$56,'Project &amp; Task Tracker'!$C$4:$C$56,$A23)+SUMIFS('Extra Tasks'!$Q$3:$Q$40,'Extra Tasks'!$C$3:$C$40,$A23))/(COUNTIFS('Project &amp; Task Tracker'!$C$4:$C$56,$A23,'Project &amp; Task Tracker'!$Q$4:$Q$56,"&gt;=0")+COUNTIFS('Extra Tasks'!$C$3:$C$40,$A23,'Extra Tasks'!$Q$3:$Q$40,"&gt;=0")),"")</f>
        <v/>
      </c>
      <c r="F23" s="26"/>
      <c r="G23" s="26"/>
      <c r="H23" s="26"/>
      <c r="I23" s="26"/>
      <c r="J23" s="25"/>
      <c r="K23" s="24" t="n">
        <f aca="false">C23*5-D23*2+IF(E23="",0,IF(E23&gt;=1,10,IF(E23&gt;=0.9,5,0)))+IFERROR(J23,0)</f>
        <v>0</v>
      </c>
      <c r="L23" s="27" t="str">
        <f aca="false">IF($A23="","",IF(K23&gt;=50,"Gold",IF(K23&gt;=30,"Silver",IF(K23&gt;=15,"Bronze","No Reward Yet"))))</f>
        <v>No Reward Yet</v>
      </c>
      <c r="M23" s="25"/>
      <c r="N23" s="28"/>
      <c r="O23" s="25"/>
    </row>
    <row r="24" customFormat="false" ht="14.25" hidden="false" customHeight="true" outlineLevel="0" collapsed="false">
      <c r="A24" s="25" t="s">
        <v>100</v>
      </c>
      <c r="B24" s="25" t="str">
        <f aca="false">'Extra Tasks'!D37</f>
        <v>Sales</v>
      </c>
      <c r="C24" s="24" t="n">
        <f aca="false">IF($A24="",0,COUNTIFS('Project &amp; Task Tracker'!$C$4:$C$56,$A24,'Project &amp; Task Tracker'!$K$4:$K$56,"Yes")+COUNTIFS('Extra Tasks'!$C$3:$C$40,$A24,'Extra Tasks'!$K$3:$K$40,"Yes"))</f>
        <v>0</v>
      </c>
      <c r="D24" s="24" t="str">
        <f aca="false">IF($A24="",0,COUNTIFS('Project &amp; Task Tracker'!$C$4:$C$56,$A24,'Project &amp; Task Tracker'!$J$4:$J$56,"Delayed")+COUNTIFS('Extra Tasks'!$C$3:$C$40,$A24,'Extra Tasks'!$J$3:$J$40,"Delayed"))</f>
        <v>0</v>
      </c>
      <c r="E24" s="26" t="str">
        <f aca="false">IFERROR((SUMIFS('Project &amp; Task Tracker'!$Q$4:$Q$56,'Project &amp; Task Tracker'!$C$4:$C$56,$A24)+SUMIFS('Extra Tasks'!$Q$3:$Q$40,'Extra Tasks'!$C$3:$C$40,$A24))/(COUNTIFS('Project &amp; Task Tracker'!$C$4:$C$56,$A24,'Project &amp; Task Tracker'!$Q$4:$Q$56,"&gt;=0")+COUNTIFS('Extra Tasks'!$C$3:$C$40,$A24,'Extra Tasks'!$Q$3:$Q$40,"&gt;=0")),"")</f>
        <v/>
      </c>
      <c r="F24" s="26"/>
      <c r="G24" s="26"/>
      <c r="H24" s="26"/>
      <c r="I24" s="26"/>
      <c r="J24" s="25"/>
      <c r="K24" s="24" t="n">
        <f aca="false">C24*5-D24*2+IF(E24="",0,IF(E24&gt;=1,10,IF(E24&gt;=0.9,5,0)))+IFERROR(J24,0)</f>
        <v>0</v>
      </c>
      <c r="L24" s="27" t="str">
        <f aca="false">IF($A24="","",IF(K24&gt;=50,"Gold",IF(K24&gt;=30,"Silver",IF(K24&gt;=15,"Bronze","No Reward Yet"))))</f>
        <v>No Reward Yet</v>
      </c>
      <c r="M24" s="25"/>
      <c r="N24" s="28"/>
      <c r="O24" s="25"/>
    </row>
    <row r="25" customFormat="false" ht="14.25" hidden="false" customHeight="true" outlineLevel="0" collapsed="false">
      <c r="A25" s="25" t="s">
        <v>102</v>
      </c>
      <c r="B25" s="25" t="str">
        <f aca="false">'Extra Tasks'!D38</f>
        <v>Sales</v>
      </c>
      <c r="C25" s="24" t="n">
        <f aca="false">IF($A25="",0,COUNTIFS('Project &amp; Task Tracker'!$C$4:$C$56,$A25,'Project &amp; Task Tracker'!$K$4:$K$56,"Yes")+COUNTIFS('Extra Tasks'!$C$3:$C$40,$A25,'Extra Tasks'!$K$3:$K$40,"Yes"))</f>
        <v>0</v>
      </c>
      <c r="D25" s="24" t="str">
        <f aca="false">IF($A25="",0,COUNTIFS('Project &amp; Task Tracker'!$C$4:$C$56,$A25,'Project &amp; Task Tracker'!$J$4:$J$56,"Delayed")+COUNTIFS('Extra Tasks'!$C$3:$C$40,$A25,'Extra Tasks'!$J$3:$J$40,"Delayed"))</f>
        <v>0</v>
      </c>
      <c r="E25" s="26" t="str">
        <f aca="false">IFERROR((SUMIFS('Project &amp; Task Tracker'!$Q$4:$Q$56,'Project &amp; Task Tracker'!$C$4:$C$56,$A25)+SUMIFS('Extra Tasks'!$Q$3:$Q$40,'Extra Tasks'!$C$3:$C$40,$A25))/(COUNTIFS('Project &amp; Task Tracker'!$C$4:$C$56,$A25,'Project &amp; Task Tracker'!$Q$4:$Q$56,"&gt;=0")+COUNTIFS('Extra Tasks'!$C$3:$C$40,$A25,'Extra Tasks'!$Q$3:$Q$40,"&gt;=0")),"")</f>
        <v/>
      </c>
      <c r="F25" s="26"/>
      <c r="G25" s="26"/>
      <c r="H25" s="26"/>
      <c r="I25" s="26"/>
      <c r="J25" s="25"/>
      <c r="K25" s="24" t="n">
        <f aca="false">C25*5-D25*2+IF(E25="",0,IF(E25&gt;=1,10,IF(E25&gt;=0.9,5,0)))+IFERROR(J25,0)</f>
        <v>0</v>
      </c>
      <c r="L25" s="27" t="str">
        <f aca="false">IF($A25="","",IF(K25&gt;=50,"Gold",IF(K25&gt;=30,"Silver",IF(K25&gt;=15,"Bronze","No Reward Yet"))))</f>
        <v>No Reward Yet</v>
      </c>
      <c r="M25" s="25"/>
      <c r="N25" s="28"/>
      <c r="O25" s="25"/>
    </row>
    <row r="26" customFormat="false" ht="14.25" hidden="false" customHeight="true" outlineLevel="0" collapsed="false">
      <c r="A26" s="25" t="s">
        <v>103</v>
      </c>
      <c r="B26" s="25" t="str">
        <f aca="false">'Extra Tasks'!D39</f>
        <v>Sales</v>
      </c>
      <c r="C26" s="24" t="n">
        <f aca="false">IF($A26="",0,COUNTIFS('Project &amp; Task Tracker'!$C$4:$C$56,$A26,'Project &amp; Task Tracker'!$K$4:$K$56,"Yes")+COUNTIFS('Extra Tasks'!$C$3:$C$40,$A26,'Extra Tasks'!$K$3:$K$40,"Yes"))</f>
        <v>0</v>
      </c>
      <c r="D26" s="24" t="str">
        <f aca="false">IF($A26="",0,COUNTIFS('Project &amp; Task Tracker'!$C$4:$C$56,$A26,'Project &amp; Task Tracker'!$J$4:$J$56,"Delayed")+COUNTIFS('Extra Tasks'!$C$3:$C$40,$A26,'Extra Tasks'!$J$3:$J$40,"Delayed"))</f>
        <v>0</v>
      </c>
      <c r="E26" s="26" t="str">
        <f aca="false">IFERROR((SUMIFS('Project &amp; Task Tracker'!$Q$4:$Q$56,'Project &amp; Task Tracker'!$C$4:$C$56,$A26)+SUMIFS('Extra Tasks'!$Q$3:$Q$40,'Extra Tasks'!$C$3:$C$40,$A26))/(COUNTIFS('Project &amp; Task Tracker'!$C$4:$C$56,$A26,'Project &amp; Task Tracker'!$Q$4:$Q$56,"&gt;=0")+COUNTIFS('Extra Tasks'!$C$3:$C$40,$A26,'Extra Tasks'!$Q$3:$Q$40,"&gt;=0")),"")</f>
        <v/>
      </c>
      <c r="F26" s="26"/>
      <c r="G26" s="26"/>
      <c r="H26" s="26"/>
      <c r="I26" s="26"/>
      <c r="J26" s="25"/>
      <c r="K26" s="24" t="n">
        <f aca="false">C26*5-D26*2+IF(E26="",0,IF(E26&gt;=1,10,IF(E26&gt;=0.9,5,0)))+IFERROR(J26,0)</f>
        <v>0</v>
      </c>
      <c r="L26" s="27" t="str">
        <f aca="false">IF($A26="","",IF(K26&gt;=50,"Gold",IF(K26&gt;=30,"Silver",IF(K26&gt;=15,"Bronze","No Reward Yet"))))</f>
        <v>No Reward Yet</v>
      </c>
      <c r="M26" s="25"/>
      <c r="N26" s="28"/>
      <c r="O26" s="25"/>
    </row>
    <row r="27" customFormat="false" ht="14.25" hidden="false" customHeight="true" outlineLevel="0" collapsed="false">
      <c r="A27" s="25" t="s">
        <v>104</v>
      </c>
      <c r="B27" s="25" t="str">
        <f aca="false">'Project &amp; Task Tracker'!D22</f>
        <v>Sales</v>
      </c>
      <c r="C27" s="24" t="n">
        <f aca="false">IF($A27="",0,COUNTIFS('Project &amp; Task Tracker'!$C$4:$C$56,$A27,'Project &amp; Task Tracker'!$K$4:$K$56,"Yes")+COUNTIFS('Extra Tasks'!$C$3:$C$40,$A27,'Extra Tasks'!$K$3:$K$40,"Yes"))</f>
        <v>0</v>
      </c>
      <c r="D27" s="24" t="str">
        <f aca="false">IF($A27="",0,COUNTIFS('Project &amp; Task Tracker'!$C$4:$C$56,$A27,'Project &amp; Task Tracker'!$J$4:$J$56,"Delayed")+COUNTIFS('Extra Tasks'!$C$3:$C$40,$A27,'Extra Tasks'!$J$3:$J$40,"Delayed"))</f>
        <v>0</v>
      </c>
      <c r="E27" s="26" t="str">
        <f aca="false">IFERROR((SUMIFS('Project &amp; Task Tracker'!$Q$4:$Q$56,'Project &amp; Task Tracker'!$C$4:$C$56,$A27)+SUMIFS('Extra Tasks'!$Q$3:$Q$40,'Extra Tasks'!$C$3:$C$40,$A27))/(COUNTIFS('Project &amp; Task Tracker'!$C$4:$C$56,$A27,'Project &amp; Task Tracker'!$Q$4:$Q$56,"&gt;=0")+COUNTIFS('Extra Tasks'!$C$3:$C$40,$A27,'Extra Tasks'!$Q$3:$Q$40,"&gt;=0")),"")</f>
        <v/>
      </c>
      <c r="F27" s="26"/>
      <c r="G27" s="26"/>
      <c r="H27" s="26"/>
      <c r="I27" s="26"/>
      <c r="J27" s="25"/>
      <c r="K27" s="24" t="n">
        <f aca="false">C27*5-D27*2+IF(E27="",0,IF(E27&gt;=1,10,IF(E27&gt;=0.9,5,0)))+IFERROR(J27,0)</f>
        <v>0</v>
      </c>
      <c r="L27" s="27" t="str">
        <f aca="false">IF($A27="","",IF(K27&gt;=50,"Gold",IF(K27&gt;=30,"Silver",IF(K27&gt;=15,"Bronze","No Reward Yet"))))</f>
        <v>No Reward Yet</v>
      </c>
      <c r="M27" s="25"/>
      <c r="N27" s="28"/>
      <c r="O27" s="25"/>
    </row>
    <row r="28" customFormat="false" ht="14.25" hidden="false" customHeight="true" outlineLevel="0" collapsed="false">
      <c r="A28" s="25" t="s">
        <v>77</v>
      </c>
      <c r="B28" s="25" t="str">
        <f aca="false">'Project &amp; Task Tracker'!D23</f>
        <v>Sales</v>
      </c>
      <c r="C28" s="24" t="n">
        <f aca="false">IF($A28="",0,COUNTIFS('Project &amp; Task Tracker'!$C$4:$C$56,$A28,'Project &amp; Task Tracker'!$K$4:$K$56,"Yes")+COUNTIFS('Extra Tasks'!$C$3:$C$40,$A28,'Extra Tasks'!$K$3:$K$40,"Yes"))</f>
        <v>0</v>
      </c>
      <c r="D28" s="24" t="str">
        <f aca="false">IF($A28="",0,COUNTIFS('Project &amp; Task Tracker'!$C$4:$C$56,$A28,'Project &amp; Task Tracker'!$J$4:$J$56,"Delayed")+COUNTIFS('Extra Tasks'!$C$3:$C$40,$A28,'Extra Tasks'!$J$3:$J$40,"Delayed"))</f>
        <v>0</v>
      </c>
      <c r="E28" s="26" t="str">
        <f aca="false">IFERROR((SUMIFS('Project &amp; Task Tracker'!$Q$4:$Q$56,'Project &amp; Task Tracker'!$C$4:$C$56,$A28)+SUMIFS('Extra Tasks'!$Q$3:$Q$40,'Extra Tasks'!$C$3:$C$40,$A28))/(COUNTIFS('Project &amp; Task Tracker'!$C$4:$C$56,$A28,'Project &amp; Task Tracker'!$Q$4:$Q$56,"&gt;=0")+COUNTIFS('Extra Tasks'!$C$3:$C$40,$A28,'Extra Tasks'!$Q$3:$Q$40,"&gt;=0")),"")</f>
        <v/>
      </c>
      <c r="F28" s="26"/>
      <c r="G28" s="26"/>
      <c r="H28" s="26"/>
      <c r="I28" s="26"/>
      <c r="J28" s="25"/>
      <c r="K28" s="24" t="n">
        <f aca="false">C28*5-D28*2+IF(E28="",0,IF(E28&gt;=1,10,IF(E28&gt;=0.9,5,0)))+IFERROR(J28,0)</f>
        <v>0</v>
      </c>
      <c r="L28" s="27" t="str">
        <f aca="false">IF($A28="","",IF(K28&gt;=50,"Gold",IF(K28&gt;=30,"Silver",IF(K28&gt;=15,"Bronze","No Reward Yet"))))</f>
        <v>No Reward Yet</v>
      </c>
      <c r="M28" s="25"/>
      <c r="N28" s="28"/>
      <c r="O28" s="25"/>
    </row>
    <row r="29" customFormat="false" ht="14.25" hidden="false" customHeight="true" outlineLevel="0" collapsed="false">
      <c r="A29" s="25" t="s">
        <v>128</v>
      </c>
      <c r="B29" s="25" t="str">
        <f aca="false">'Project &amp; Task Tracker'!D24</f>
        <v>Sales</v>
      </c>
      <c r="C29" s="24" t="n">
        <f aca="false">IF($A29="",0,COUNTIFS('Project &amp; Task Tracker'!$C$4:$C$56,$A29,'Project &amp; Task Tracker'!$K$4:$K$56,"Yes")+COUNTIFS('Extra Tasks'!$C$3:$C$40,$A29,'Extra Tasks'!$K$3:$K$40,"Yes"))</f>
        <v>0</v>
      </c>
      <c r="D29" s="24" t="str">
        <f aca="false">IF($A29="",0,COUNTIFS('Project &amp; Task Tracker'!$C$4:$C$56,$A29,'Project &amp; Task Tracker'!$J$4:$J$56,"Delayed")+COUNTIFS('Extra Tasks'!$C$3:$C$40,$A29,'Extra Tasks'!$J$3:$J$40,"Delayed"))</f>
        <v>0</v>
      </c>
      <c r="E29" s="26" t="str">
        <f aca="false">IFERROR((SUMIFS('Project &amp; Task Tracker'!$Q$4:$Q$56,'Project &amp; Task Tracker'!$C$4:$C$56,$A29)+SUMIFS('Extra Tasks'!$Q$3:$Q$40,'Extra Tasks'!$C$3:$C$40,$A29))/(COUNTIFS('Project &amp; Task Tracker'!$C$4:$C$56,$A29,'Project &amp; Task Tracker'!$Q$4:$Q$56,"&gt;=0")+COUNTIFS('Extra Tasks'!$C$3:$C$40,$A29,'Extra Tasks'!$Q$3:$Q$40,"&gt;=0")),"")</f>
        <v/>
      </c>
      <c r="F29" s="26"/>
      <c r="G29" s="26"/>
      <c r="H29" s="26"/>
      <c r="I29" s="26"/>
      <c r="J29" s="25"/>
      <c r="K29" s="24" t="n">
        <f aca="false">C29*5-D29*2+IF(E29="",0,IF(E29&gt;=1,10,IF(E29&gt;=0.9,5,0)))+IFERROR(J29,0)</f>
        <v>0</v>
      </c>
      <c r="L29" s="27" t="str">
        <f aca="false">IF($A29="","",IF(K29&gt;=50,"Gold",IF(K29&gt;=30,"Silver",IF(K29&gt;=15,"Bronze","No Reward Yet"))))</f>
        <v>No Reward Yet</v>
      </c>
      <c r="M29" s="25"/>
      <c r="N29" s="28"/>
      <c r="O29" s="25"/>
    </row>
    <row r="30" customFormat="false" ht="14.25" hidden="false" customHeight="true" outlineLevel="0" collapsed="false">
      <c r="A30" s="25" t="s">
        <v>84</v>
      </c>
      <c r="B30" s="25" t="str">
        <f aca="false">'Project &amp; Task Tracker'!D25</f>
        <v>Sales</v>
      </c>
      <c r="C30" s="24" t="n">
        <f aca="false">IF($A30="",0,COUNTIFS('Project &amp; Task Tracker'!$C$4:$C$56,$A30,'Project &amp; Task Tracker'!$K$4:$K$56,"Yes")+COUNTIFS('Extra Tasks'!$C$3:$C$40,$A30,'Extra Tasks'!$K$3:$K$40,"Yes"))</f>
        <v>0</v>
      </c>
      <c r="D30" s="24" t="str">
        <f aca="false">IF($A30="",0,COUNTIFS('Project &amp; Task Tracker'!$C$4:$C$56,$A30,'Project &amp; Task Tracker'!$J$4:$J$56,"Delayed")+COUNTIFS('Extra Tasks'!$C$3:$C$40,$A30,'Extra Tasks'!$J$3:$J$40,"Delayed"))</f>
        <v>0</v>
      </c>
      <c r="E30" s="26" t="str">
        <f aca="false">IFERROR((SUMIFS('Project &amp; Task Tracker'!$Q$4:$Q$56,'Project &amp; Task Tracker'!$C$4:$C$56,$A30)+SUMIFS('Extra Tasks'!$Q$3:$Q$40,'Extra Tasks'!$C$3:$C$40,$A30))/(COUNTIFS('Project &amp; Task Tracker'!$C$4:$C$56,$A30,'Project &amp; Task Tracker'!$Q$4:$Q$56,"&gt;=0")+COUNTIFS('Extra Tasks'!$C$3:$C$40,$A30,'Extra Tasks'!$Q$3:$Q$40,"&gt;=0")),"")</f>
        <v/>
      </c>
      <c r="F30" s="26"/>
      <c r="G30" s="26"/>
      <c r="H30" s="26"/>
      <c r="I30" s="26"/>
      <c r="J30" s="25"/>
      <c r="K30" s="24" t="n">
        <f aca="false">C30*5-D30*2+IF(E30="",0,IF(E30&gt;=1,10,IF(E30&gt;=0.9,5,0)))+IFERROR(J30,0)</f>
        <v>0</v>
      </c>
      <c r="L30" s="27" t="str">
        <f aca="false">IF($A30="","",IF(K30&gt;=50,"Gold",IF(K30&gt;=30,"Silver",IF(K30&gt;=15,"Bronze","No Reward Yet"))))</f>
        <v>No Reward Yet</v>
      </c>
      <c r="M30" s="25"/>
      <c r="N30" s="28"/>
      <c r="O30" s="25"/>
    </row>
    <row r="31" customFormat="false" ht="14.25" hidden="false" customHeight="true" outlineLevel="0" collapsed="false">
      <c r="A31" s="25" t="s">
        <v>89</v>
      </c>
      <c r="B31" s="25" t="str">
        <f aca="false">'Project &amp; Task Tracker'!D26</f>
        <v>Sales</v>
      </c>
      <c r="C31" s="24" t="n">
        <f aca="false">IF($A31="",0,COUNTIFS('Project &amp; Task Tracker'!$C$4:$C$56,$A31,'Project &amp; Task Tracker'!$K$4:$K$56,"Yes")+COUNTIFS('Extra Tasks'!$C$3:$C$40,$A31,'Extra Tasks'!$K$3:$K$40,"Yes"))</f>
        <v>0</v>
      </c>
      <c r="D31" s="24" t="str">
        <f aca="false">IF($A31="",0,COUNTIFS('Project &amp; Task Tracker'!$C$4:$C$56,$A31,'Project &amp; Task Tracker'!$J$4:$J$56,"Delayed")+COUNTIFS('Extra Tasks'!$C$3:$C$40,$A31,'Extra Tasks'!$J$3:$J$40,"Delayed"))</f>
        <v>0</v>
      </c>
      <c r="E31" s="26" t="str">
        <f aca="false">IFERROR((SUMIFS('Project &amp; Task Tracker'!$Q$4:$Q$56,'Project &amp; Task Tracker'!$C$4:$C$56,$A31)+SUMIFS('Extra Tasks'!$Q$3:$Q$40,'Extra Tasks'!$C$3:$C$40,$A31))/(COUNTIFS('Project &amp; Task Tracker'!$C$4:$C$56,$A31,'Project &amp; Task Tracker'!$Q$4:$Q$56,"&gt;=0")+COUNTIFS('Extra Tasks'!$C$3:$C$40,$A31,'Extra Tasks'!$Q$3:$Q$40,"&gt;=0")),"")</f>
        <v/>
      </c>
      <c r="F31" s="26"/>
      <c r="G31" s="26"/>
      <c r="H31" s="26"/>
      <c r="I31" s="26"/>
      <c r="J31" s="25"/>
      <c r="K31" s="24" t="n">
        <f aca="false">C31*5-D31*2+IF(E31="",0,IF(E31&gt;=1,10,IF(E31&gt;=0.9,5,0)))+IFERROR(J31,0)</f>
        <v>0</v>
      </c>
      <c r="L31" s="27" t="str">
        <f aca="false">IF($A31="","",IF(K31&gt;=50,"Gold",IF(K31&gt;=30,"Silver",IF(K31&gt;=15,"Bronze","No Reward Yet"))))</f>
        <v>No Reward Yet</v>
      </c>
      <c r="M31" s="25"/>
      <c r="N31" s="28"/>
      <c r="O31" s="25"/>
    </row>
    <row r="32" customFormat="false" ht="14.25" hidden="false" customHeight="true" outlineLevel="0" collapsed="false">
      <c r="A32" s="25" t="s">
        <v>129</v>
      </c>
      <c r="B32" s="25" t="str">
        <f aca="false">'Project &amp; Task Tracker'!D27</f>
        <v>Sales</v>
      </c>
      <c r="C32" s="24" t="n">
        <f aca="false">IF($A32="",0,COUNTIFS('Project &amp; Task Tracker'!$C$4:$C$56,$A32,'Project &amp; Task Tracker'!$K$4:$K$56,"Yes")+COUNTIFS('Extra Tasks'!$C$3:$C$40,$A32,'Extra Tasks'!$K$3:$K$40,"Yes"))</f>
        <v>0</v>
      </c>
      <c r="D32" s="24" t="str">
        <f aca="false">IF($A32="",0,COUNTIFS('Project &amp; Task Tracker'!$C$4:$C$56,$A32,'Project &amp; Task Tracker'!$J$4:$J$56,"Delayed")+COUNTIFS('Extra Tasks'!$C$3:$C$40,$A32,'Extra Tasks'!$J$3:$J$40,"Delayed"))</f>
        <v>0</v>
      </c>
      <c r="E32" s="26" t="str">
        <f aca="false">IFERROR((SUMIFS('Project &amp; Task Tracker'!$Q$4:$Q$56,'Project &amp; Task Tracker'!$C$4:$C$56,$A32)+SUMIFS('Extra Tasks'!$Q$3:$Q$40,'Extra Tasks'!$C$3:$C$40,$A32))/(COUNTIFS('Project &amp; Task Tracker'!$C$4:$C$56,$A32,'Project &amp; Task Tracker'!$Q$4:$Q$56,"&gt;=0")+COUNTIFS('Extra Tasks'!$C$3:$C$40,$A32,'Extra Tasks'!$Q$3:$Q$40,"&gt;=0")),"")</f>
        <v/>
      </c>
      <c r="F32" s="26"/>
      <c r="G32" s="26"/>
      <c r="H32" s="26"/>
      <c r="I32" s="26"/>
      <c r="J32" s="25"/>
      <c r="K32" s="24" t="n">
        <f aca="false">C32*5-D32*2+IF(E32="",0,IF(E32&gt;=1,10,IF(E32&gt;=0.9,5,0)))+IFERROR(J32,0)</f>
        <v>0</v>
      </c>
      <c r="L32" s="27" t="str">
        <f aca="false">IF($A32="","",IF(K32&gt;=50,"Gold",IF(K32&gt;=30,"Silver",IF(K32&gt;=15,"Bronze","No Reward Yet"))))</f>
        <v>No Reward Yet</v>
      </c>
      <c r="M32" s="25"/>
      <c r="N32" s="28"/>
      <c r="O32" s="25"/>
    </row>
    <row r="33" customFormat="false" ht="14.25" hidden="false" customHeight="true" outlineLevel="0" collapsed="false">
      <c r="A33" s="25" t="s">
        <v>106</v>
      </c>
      <c r="B33" s="25" t="str">
        <f aca="false">'Project &amp; Task Tracker'!D28</f>
        <v>Sales</v>
      </c>
      <c r="C33" s="24" t="n">
        <f aca="false">IF($A33="",0,COUNTIFS('Project &amp; Task Tracker'!$C$4:$C$56,$A33,'Project &amp; Task Tracker'!$K$4:$K$56,"Yes")+COUNTIFS('Extra Tasks'!$C$3:$C$40,$A33,'Extra Tasks'!$K$3:$K$40,"Yes"))</f>
        <v>0</v>
      </c>
      <c r="D33" s="24" t="str">
        <f aca="false">IF($A33="",0,COUNTIFS('Project &amp; Task Tracker'!$C$4:$C$56,$A33,'Project &amp; Task Tracker'!$J$4:$J$56,"Delayed")+COUNTIFS('Extra Tasks'!$C$3:$C$40,$A33,'Extra Tasks'!$J$3:$J$40,"Delayed"))</f>
        <v>0</v>
      </c>
      <c r="E33" s="26" t="str">
        <f aca="false">IFERROR((SUMIFS('Project &amp; Task Tracker'!$Q$4:$Q$56,'Project &amp; Task Tracker'!$C$4:$C$56,$A33)+SUMIFS('Extra Tasks'!$Q$3:$Q$40,'Extra Tasks'!$C$3:$C$40,$A33))/(COUNTIFS('Project &amp; Task Tracker'!$C$4:$C$56,$A33,'Project &amp; Task Tracker'!$Q$4:$Q$56,"&gt;=0")+COUNTIFS('Extra Tasks'!$C$3:$C$40,$A33,'Extra Tasks'!$Q$3:$Q$40,"&gt;=0")),"")</f>
        <v/>
      </c>
      <c r="F33" s="26"/>
      <c r="G33" s="26"/>
      <c r="H33" s="26"/>
      <c r="I33" s="26"/>
      <c r="J33" s="25"/>
      <c r="K33" s="24" t="n">
        <f aca="false">C33*5-D33*2+IF(E33="",0,IF(E33&gt;=1,10,IF(E33&gt;=0.9,5,0)))+IFERROR(J33,0)</f>
        <v>0</v>
      </c>
      <c r="L33" s="27" t="str">
        <f aca="false">IF($A33="","",IF(K33&gt;=50,"Gold",IF(K33&gt;=30,"Silver",IF(K33&gt;=15,"Bronze","No Reward Yet"))))</f>
        <v>No Reward Yet</v>
      </c>
      <c r="M33" s="25"/>
      <c r="N33" s="28"/>
      <c r="O33" s="25"/>
    </row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1">
    <mergeCell ref="A1:P2"/>
  </mergeCells>
  <conditionalFormatting sqref="L4:L33">
    <cfRule type="cellIs" priority="2" operator="equal" aboveAverage="0" equalAverage="0" bottom="0" percent="0" rank="0" text="" dxfId="18">
      <formula>"Gold"</formula>
    </cfRule>
    <cfRule type="cellIs" priority="3" operator="equal" aboveAverage="0" equalAverage="0" bottom="0" percent="0" rank="0" text="" dxfId="19">
      <formula>"Silver"</formula>
    </cfRule>
    <cfRule type="cellIs" priority="4" operator="equal" aboveAverage="0" equalAverage="0" bottom="0" percent="0" rank="0" text="" dxfId="20">
      <formula>"Bronze"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78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  <col collapsed="false" customWidth="true" hidden="false" outlineLevel="0" max="11" min="7" style="0" width="8.62"/>
  </cols>
  <sheetData>
    <row r="1" customFormat="false" ht="14.25" hidden="false" customHeight="true" outlineLevel="0" collapsed="false"/>
    <row r="2" customFormat="false" ht="22.5" hidden="false" customHeight="true" outlineLevel="0" collapsed="false">
      <c r="B2" s="30" t="s">
        <v>130</v>
      </c>
    </row>
    <row r="3" customFormat="false" ht="14.25" hidden="false" customHeight="true" outlineLevel="0" collapsed="false">
      <c r="B3" s="31" t="s">
        <v>131</v>
      </c>
    </row>
    <row r="4" customFormat="false" ht="14.25" hidden="false" customHeight="true" outlineLevel="0" collapsed="false"/>
    <row r="5" customFormat="false" ht="14.25" hidden="false" customHeight="true" outlineLevel="0" collapsed="false">
      <c r="B5" s="32" t="s">
        <v>132</v>
      </c>
      <c r="C5" s="32" t="s">
        <v>26</v>
      </c>
      <c r="D5" s="32" t="s">
        <v>24</v>
      </c>
      <c r="E5" s="32" t="s">
        <v>133</v>
      </c>
    </row>
    <row r="6" customFormat="false" ht="25.5" hidden="false" customHeight="true" outlineLevel="0" collapsed="false">
      <c r="B6" s="33" t="str">
        <f aca="false">COUNTA('Project &amp; Task Tracker'!A4:A56)+COUNTA('Extra Tasks'!A3:A40)</f>
        <v>91</v>
      </c>
      <c r="C6" s="33" t="str">
        <f aca="false">COUNTIF('Project &amp; Task Tracker'!J4:J56,"Ongoing")+COUNTIF('Extra Tasks'!J3:J40,"Ongoing")</f>
        <v>2</v>
      </c>
      <c r="D6" s="33" t="str">
        <f aca="false">COUNTIF('Project &amp; Task Tracker'!J4:J56,"Completed")+COUNTIF('Extra Tasks'!J3:J40,"Completed")</f>
        <v>9</v>
      </c>
      <c r="E6" s="33" t="str">
        <f aca="false">COUNTIF('Project &amp; Task Tracker'!J4:J56,"Delayed")+COUNTIF('Extra Tasks'!J3:J40,"Delayed")</f>
        <v>0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>
      <c r="B9" s="34" t="s">
        <v>134</v>
      </c>
      <c r="C9" s="34" t="s">
        <v>135</v>
      </c>
      <c r="E9" s="34" t="s">
        <v>4</v>
      </c>
      <c r="F9" s="34" t="s">
        <v>136</v>
      </c>
    </row>
    <row r="10" customFormat="false" ht="14.25" hidden="false" customHeight="true" outlineLevel="0" collapsed="false">
      <c r="B10" s="35" t="s">
        <v>26</v>
      </c>
      <c r="C10" s="35" t="str">
        <f aca="false">COUNTIF('Project &amp; Task Tracker'!J4:J56,"Ongoing")+COUNTIF('Extra Tasks'!J3:J40,"Ongoing")</f>
        <v>2</v>
      </c>
      <c r="E10" s="35" t="s">
        <v>137</v>
      </c>
      <c r="F10" s="35" t="str">
        <f aca="false">COUNTIFS('Project &amp; Task Tracker'!$D$4:$D$56,$E10,'Project &amp; Task Tracker'!$J$4:$J$56,"&lt;&gt;Completed")+COUNTIFS('Extra Tasks'!$D$3:$D$40,$E10,'Extra Tasks'!$J$3:$J$40,"&lt;&gt;Completed")</f>
        <v>0</v>
      </c>
    </row>
    <row r="11" customFormat="false" ht="14.25" hidden="false" customHeight="true" outlineLevel="0" collapsed="false">
      <c r="B11" s="35" t="s">
        <v>24</v>
      </c>
      <c r="C11" s="35" t="str">
        <f aca="false">COUNTIF('Project &amp; Task Tracker'!J4:J56,"Completed")+COUNTIF('Extra Tasks'!J3:J40,"Completed")</f>
        <v>9</v>
      </c>
      <c r="E11" s="35" t="s">
        <v>138</v>
      </c>
      <c r="F11" s="35" t="str">
        <f aca="false">COUNTIFS('Project &amp; Task Tracker'!$D$4:$D$56,$E11,'Project &amp; Task Tracker'!$J$4:$J$56,"&lt;&gt;Completed")+COUNTIFS('Extra Tasks'!$D$3:$D$40,$E11,'Extra Tasks'!$J$3:$J$40,"&lt;&gt;Completed")</f>
        <v>0</v>
      </c>
    </row>
    <row r="12" customFormat="false" ht="14.25" hidden="false" customHeight="true" outlineLevel="0" collapsed="false">
      <c r="B12" s="35" t="s">
        <v>133</v>
      </c>
      <c r="C12" s="35" t="str">
        <f aca="false">COUNTIF('Project &amp; Task Tracker'!J4:J56,"Delayed")+COUNTIF('Extra Tasks'!J3:J40,"Delayed")</f>
        <v>0</v>
      </c>
      <c r="E12" s="35" t="s">
        <v>139</v>
      </c>
      <c r="F12" s="35" t="str">
        <f aca="false">COUNTIFS('Project &amp; Task Tracker'!$D$4:$D$56,$E12,'Project &amp; Task Tracker'!$J$4:$J$56,"&lt;&gt;Completed")+COUNTIFS('Extra Tasks'!$D$3:$D$40,$E12,'Extra Tasks'!$J$3:$J$40,"&lt;&gt;Completed")</f>
        <v>0</v>
      </c>
    </row>
    <row r="13" customFormat="false" ht="14.25" hidden="false" customHeight="true" outlineLevel="0" collapsed="false">
      <c r="B13" s="35" t="s">
        <v>140</v>
      </c>
      <c r="C13" s="35" t="str">
        <f aca="false">COUNTIF('Project &amp; Task Tracker'!J4:J56,"On Hold")+COUNTIF('Extra Tasks'!J3:J40,"On Hold")</f>
        <v>0</v>
      </c>
      <c r="E13" s="35" t="s">
        <v>21</v>
      </c>
      <c r="F13" s="35" t="str">
        <f aca="false">COUNTIFS('Project &amp; Task Tracker'!$D$4:$D$56,$E13,'Project &amp; Task Tracker'!$J$4:$J$56,"&lt;&gt;Completed")+COUNTIFS('Extra Tasks'!$D$3:$D$40,$E13,'Extra Tasks'!$J$3:$J$40,"&lt;&gt;Completed")</f>
        <v>82</v>
      </c>
    </row>
    <row r="14" customFormat="false" ht="14.25" hidden="false" customHeight="true" outlineLevel="0" collapsed="false">
      <c r="E14" s="35" t="s">
        <v>141</v>
      </c>
      <c r="F14" s="35" t="str">
        <f aca="false">COUNTIFS('Project &amp; Task Tracker'!$D$4:$D$56,$E14,'Project &amp; Task Tracker'!$J$4:$J$56,"&lt;&gt;Completed")+COUNTIFS('Extra Tasks'!$D$3:$D$40,$E14,'Extra Tasks'!$J$3:$J$40,"&lt;&gt;Completed")</f>
        <v>0</v>
      </c>
    </row>
    <row r="15" customFormat="false" ht="14.25" hidden="false" customHeight="true" outlineLevel="0" collapsed="false">
      <c r="E15" s="35" t="s">
        <v>119</v>
      </c>
      <c r="F15" s="35" t="str">
        <f aca="false">COUNTIFS('Project &amp; Task Tracker'!$D$4:$D$56,$E15,'Project &amp; Task Tracker'!$J$4:$J$56,"&lt;&gt;Completed")+COUNTIFS('Extra Tasks'!$D$3:$D$40,$E15,'Extra Tasks'!$J$3:$J$40,"&lt;&gt;Completed")</f>
        <v>0</v>
      </c>
    </row>
    <row r="16" customFormat="false" ht="14.25" hidden="false" customHeight="true" outlineLevel="0" collapsed="false">
      <c r="E16" s="35" t="s">
        <v>142</v>
      </c>
      <c r="F16" s="35" t="str">
        <f aca="false">COUNTIFS('Project &amp; Task Tracker'!$D$4:$D$56,$E16,'Project &amp; Task Tracker'!$J$4:$J$56,"&lt;&gt;Completed")+COUNTIFS('Extra Tasks'!$D$3:$D$40,$E16,'Extra Tasks'!$J$3:$J$40,"&lt;&gt;Completed")</f>
        <v>0</v>
      </c>
    </row>
    <row r="17" customFormat="false" ht="14.25" hidden="false" customHeight="true" outlineLevel="0" collapsed="false">
      <c r="E17" s="35" t="s">
        <v>143</v>
      </c>
      <c r="F17" s="35" t="str">
        <f aca="false">COUNTIFS('Project &amp; Task Tracker'!$D$4:$D$56,$E17,'Project &amp; Task Tracker'!$J$4:$J$56,"&lt;&gt;Completed")+COUNTIFS('Extra Tasks'!$D$3:$D$40,$E17,'Extra Tasks'!$J$3:$J$40,"&lt;&gt;Completed")</f>
        <v>0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5" hidden="false" customHeight="true" outlineLevel="0" collapsed="false">
      <c r="B21" s="36" t="s">
        <v>144</v>
      </c>
    </row>
    <row r="22" customFormat="false" ht="14.25" hidden="false" customHeight="true" outlineLevel="0" collapsed="false">
      <c r="B22" s="35" t="s">
        <v>145</v>
      </c>
      <c r="C22" s="35" t="n">
        <f aca="false">COUNTIF('Rewards &amp; Recognition'!L4:L33,"Gold")</f>
        <v>0</v>
      </c>
    </row>
    <row r="23" customFormat="false" ht="14.25" hidden="false" customHeight="true" outlineLevel="0" collapsed="false">
      <c r="B23" s="35" t="s">
        <v>146</v>
      </c>
      <c r="C23" s="35" t="n">
        <f aca="false">COUNTIF('Rewards &amp; Recognition'!L4:L33,"Silver")</f>
        <v>0</v>
      </c>
    </row>
    <row r="24" customFormat="false" ht="14.25" hidden="false" customHeight="true" outlineLevel="0" collapsed="false">
      <c r="B24" s="35" t="s">
        <v>147</v>
      </c>
      <c r="C24" s="35" t="n">
        <f aca="false">COUNTIF('Rewards &amp; Recognition'!L4:L33,"Bronze")</f>
        <v>0</v>
      </c>
    </row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7890625" defaultRowHeight="15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45"/>
    <col collapsed="false" customWidth="true" hidden="false" outlineLevel="0" max="3" min="3" style="0" width="13.76"/>
    <col collapsed="false" customWidth="true" hidden="false" outlineLevel="0" max="4" min="4" style="0" width="6.25"/>
    <col collapsed="false" customWidth="true" hidden="false" outlineLevel="0" max="5" min="5" style="0" width="11.12"/>
    <col collapsed="false" customWidth="true" hidden="false" outlineLevel="0" max="6" min="6" style="0" width="8.38"/>
    <col collapsed="false" customWidth="true" hidden="false" outlineLevel="0" max="8" min="7" style="0" width="8.75"/>
    <col collapsed="false" customWidth="true" hidden="false" outlineLevel="0" max="9" min="9" style="0" width="8.88"/>
    <col collapsed="false" customWidth="true" hidden="false" outlineLevel="0" max="10" min="10" style="0" width="6.62"/>
    <col collapsed="false" customWidth="true" hidden="false" outlineLevel="0" max="11" min="11" style="0" width="9.75"/>
    <col collapsed="false" customWidth="true" hidden="false" outlineLevel="0" max="12" min="12" style="0" width="7.88"/>
    <col collapsed="false" customWidth="true" hidden="false" outlineLevel="0" max="13" min="13" style="0" width="13.76"/>
    <col collapsed="false" customWidth="true" hidden="false" outlineLevel="0" max="14" min="14" style="0" width="8.38"/>
    <col collapsed="false" customWidth="true" hidden="false" outlineLevel="0" max="15" min="15" style="0" width="25.62"/>
    <col collapsed="false" customWidth="true" hidden="false" outlineLevel="0" max="16" min="16" style="0" width="17.88"/>
    <col collapsed="false" customWidth="true" hidden="false" outlineLevel="0" max="17" min="17" style="0" width="15.62"/>
  </cols>
  <sheetData>
    <row r="1" customFormat="false" ht="14.25" hidden="false" customHeight="true" outlineLevel="0" collapsed="false">
      <c r="A1" s="37"/>
      <c r="B1" s="38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customFormat="false" ht="30" hidden="false" customHeight="true" outlineLevel="0" collapsed="false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13</v>
      </c>
      <c r="N2" s="39" t="s">
        <v>14</v>
      </c>
      <c r="O2" s="39" t="s">
        <v>15</v>
      </c>
      <c r="P2" s="39" t="s">
        <v>16</v>
      </c>
      <c r="Q2" s="39" t="s">
        <v>17</v>
      </c>
    </row>
    <row r="3" customFormat="false" ht="14.25" hidden="false" customHeight="true" outlineLevel="0" collapsed="false">
      <c r="A3" s="40" t="s">
        <v>18</v>
      </c>
      <c r="B3" s="41" t="s">
        <v>148</v>
      </c>
      <c r="C3" s="42" t="s">
        <v>51</v>
      </c>
      <c r="D3" s="40" t="s">
        <v>21</v>
      </c>
      <c r="E3" s="42" t="s">
        <v>22</v>
      </c>
      <c r="F3" s="40" t="s">
        <v>28</v>
      </c>
      <c r="G3" s="43" t="n">
        <v>46266</v>
      </c>
      <c r="H3" s="43" t="n">
        <v>46295</v>
      </c>
      <c r="I3" s="43"/>
      <c r="J3" s="40"/>
      <c r="K3" s="40" t="str">
        <f aca="false">IF(I3="","",IF(I3&lt;=H3,"Yes","No"))</f>
        <v/>
      </c>
      <c r="L3" s="40"/>
      <c r="M3" s="40"/>
      <c r="N3" s="40"/>
      <c r="O3" s="41" t="s">
        <v>149</v>
      </c>
      <c r="P3" s="42"/>
      <c r="Q3" s="42" t="str">
        <f aca="false">IFERROR(IF(OR(O3="",O3=0),"",P3/O3),"")</f>
        <v/>
      </c>
    </row>
    <row r="4" customFormat="false" ht="14.25" hidden="false" customHeight="true" outlineLevel="0" collapsed="false">
      <c r="A4" s="40" t="s">
        <v>18</v>
      </c>
      <c r="B4" s="41" t="s">
        <v>150</v>
      </c>
      <c r="C4" s="42" t="s">
        <v>51</v>
      </c>
      <c r="D4" s="40" t="s">
        <v>21</v>
      </c>
      <c r="E4" s="42" t="s">
        <v>22</v>
      </c>
      <c r="F4" s="40" t="s">
        <v>28</v>
      </c>
      <c r="G4" s="43" t="n">
        <v>46266</v>
      </c>
      <c r="H4" s="43" t="n">
        <v>46295</v>
      </c>
      <c r="I4" s="43"/>
      <c r="J4" s="40"/>
      <c r="K4" s="40" t="str">
        <f aca="false">IF(I4="","",IF(I4&lt;=H4,"Yes","No"))</f>
        <v/>
      </c>
      <c r="L4" s="40"/>
      <c r="M4" s="40"/>
      <c r="N4" s="40"/>
      <c r="O4" s="44" t="s">
        <v>151</v>
      </c>
      <c r="P4" s="42"/>
      <c r="Q4" s="42" t="str">
        <f aca="false">IFERROR(IF(OR(O4="",O4=0),"",P4/O4),"")</f>
        <v/>
      </c>
    </row>
    <row r="5" customFormat="false" ht="14.25" hidden="false" customHeight="true" outlineLevel="0" collapsed="false">
      <c r="A5" s="40" t="s">
        <v>18</v>
      </c>
      <c r="B5" s="41" t="s">
        <v>152</v>
      </c>
      <c r="C5" s="42" t="s">
        <v>22</v>
      </c>
      <c r="D5" s="42" t="s">
        <v>21</v>
      </c>
      <c r="E5" s="40" t="s">
        <v>54</v>
      </c>
      <c r="F5" s="40" t="s">
        <v>28</v>
      </c>
      <c r="G5" s="43" t="n">
        <v>46266</v>
      </c>
      <c r="H5" s="43" t="n">
        <v>46295</v>
      </c>
      <c r="I5" s="43"/>
      <c r="J5" s="40"/>
      <c r="K5" s="40" t="str">
        <f aca="false">IF(I5="","",IF(I5&lt;=H5,"Yes","No"))</f>
        <v/>
      </c>
      <c r="L5" s="40"/>
      <c r="M5" s="40"/>
      <c r="N5" s="40"/>
      <c r="O5" s="42"/>
      <c r="P5" s="42"/>
      <c r="Q5" s="42" t="str">
        <f aca="false">IFERROR(IF(OR(O5="",O5=0),"",P5/O5),"")</f>
        <v/>
      </c>
    </row>
    <row r="6" customFormat="false" ht="14.25" hidden="false" customHeight="true" outlineLevel="0" collapsed="false">
      <c r="A6" s="40" t="s">
        <v>18</v>
      </c>
      <c r="B6" s="41" t="s">
        <v>153</v>
      </c>
      <c r="C6" s="42" t="s">
        <v>22</v>
      </c>
      <c r="D6" s="42" t="s">
        <v>21</v>
      </c>
      <c r="E6" s="40" t="s">
        <v>54</v>
      </c>
      <c r="F6" s="40" t="s">
        <v>28</v>
      </c>
      <c r="G6" s="43" t="n">
        <v>46266</v>
      </c>
      <c r="H6" s="43" t="n">
        <v>46295</v>
      </c>
      <c r="I6" s="43"/>
      <c r="J6" s="40"/>
      <c r="K6" s="40" t="str">
        <f aca="false">IF(I6="","",IF(I6&lt;=H6,"Yes","No"))</f>
        <v/>
      </c>
      <c r="L6" s="40"/>
      <c r="M6" s="40"/>
      <c r="N6" s="40"/>
      <c r="O6" s="42"/>
      <c r="P6" s="42"/>
      <c r="Q6" s="42" t="str">
        <f aca="false">IFERROR(IF(OR(O6="",O6=0),"",P6/O6),"")</f>
        <v/>
      </c>
    </row>
    <row r="7" customFormat="false" ht="14.25" hidden="false" customHeight="true" outlineLevel="0" collapsed="false">
      <c r="A7" s="40" t="s">
        <v>18</v>
      </c>
      <c r="B7" s="41" t="s">
        <v>154</v>
      </c>
      <c r="C7" s="42" t="s">
        <v>22</v>
      </c>
      <c r="D7" s="42" t="s">
        <v>21</v>
      </c>
      <c r="E7" s="40" t="s">
        <v>54</v>
      </c>
      <c r="F7" s="40" t="s">
        <v>28</v>
      </c>
      <c r="G7" s="43" t="n">
        <v>46266</v>
      </c>
      <c r="H7" s="43" t="n">
        <v>46295</v>
      </c>
      <c r="I7" s="43"/>
      <c r="J7" s="40"/>
      <c r="K7" s="40" t="str">
        <f aca="false">IF(I7="","",IF(I7&lt;=H7,"Yes","No"))</f>
        <v/>
      </c>
      <c r="L7" s="40"/>
      <c r="M7" s="40"/>
      <c r="N7" s="40"/>
      <c r="O7" s="42"/>
      <c r="P7" s="42"/>
      <c r="Q7" s="42" t="str">
        <f aca="false">IFERROR(IF(OR(O7="",O7=0),"",P7/O7),"")</f>
        <v/>
      </c>
    </row>
    <row r="8" customFormat="false" ht="14.25" hidden="false" customHeight="true" outlineLevel="0" collapsed="false">
      <c r="A8" s="40" t="s">
        <v>18</v>
      </c>
      <c r="B8" s="41" t="s">
        <v>155</v>
      </c>
      <c r="C8" s="42" t="s">
        <v>22</v>
      </c>
      <c r="D8" s="42" t="s">
        <v>21</v>
      </c>
      <c r="E8" s="40" t="s">
        <v>54</v>
      </c>
      <c r="F8" s="40" t="s">
        <v>28</v>
      </c>
      <c r="G8" s="43" t="n">
        <v>46266</v>
      </c>
      <c r="H8" s="43" t="n">
        <v>46295</v>
      </c>
      <c r="I8" s="43"/>
      <c r="J8" s="40"/>
      <c r="K8" s="40" t="str">
        <f aca="false">IF(I8="","",IF(I8&lt;=H8,"Yes","No"))</f>
        <v/>
      </c>
      <c r="L8" s="40"/>
      <c r="M8" s="40"/>
      <c r="N8" s="40"/>
      <c r="O8" s="42"/>
      <c r="P8" s="42"/>
      <c r="Q8" s="42" t="str">
        <f aca="false">IFERROR(IF(OR(O8="",O8=0),"",P8/O8),"")</f>
        <v/>
      </c>
    </row>
    <row r="9" customFormat="false" ht="14.25" hidden="false" customHeight="true" outlineLevel="0" collapsed="false">
      <c r="A9" s="40" t="s">
        <v>18</v>
      </c>
      <c r="B9" s="41" t="s">
        <v>156</v>
      </c>
      <c r="C9" s="42" t="s">
        <v>22</v>
      </c>
      <c r="D9" s="42" t="s">
        <v>21</v>
      </c>
      <c r="E9" s="40" t="s">
        <v>54</v>
      </c>
      <c r="F9" s="40" t="s">
        <v>28</v>
      </c>
      <c r="G9" s="43" t="n">
        <v>46266</v>
      </c>
      <c r="H9" s="43" t="n">
        <v>46295</v>
      </c>
      <c r="I9" s="43"/>
      <c r="J9" s="40"/>
      <c r="K9" s="40" t="str">
        <f aca="false">IF(I9="","",IF(I9&lt;=H9,"Yes","No"))</f>
        <v/>
      </c>
      <c r="L9" s="40"/>
      <c r="M9" s="40"/>
      <c r="N9" s="40"/>
      <c r="O9" s="42"/>
      <c r="P9" s="42"/>
      <c r="Q9" s="42" t="str">
        <f aca="false">IFERROR(IF(OR(O9="",O9=0),"",P9/O9),"")</f>
        <v/>
      </c>
    </row>
    <row r="10" customFormat="false" ht="14.25" hidden="false" customHeight="true" outlineLevel="0" collapsed="false">
      <c r="A10" s="40" t="s">
        <v>18</v>
      </c>
      <c r="B10" s="41" t="s">
        <v>157</v>
      </c>
      <c r="C10" s="42" t="s">
        <v>22</v>
      </c>
      <c r="D10" s="42" t="s">
        <v>21</v>
      </c>
      <c r="E10" s="40" t="s">
        <v>54</v>
      </c>
      <c r="F10" s="40" t="s">
        <v>28</v>
      </c>
      <c r="G10" s="43" t="n">
        <v>46266</v>
      </c>
      <c r="H10" s="43" t="n">
        <v>46295</v>
      </c>
      <c r="I10" s="43"/>
      <c r="J10" s="40"/>
      <c r="K10" s="40" t="str">
        <f aca="false">IF(I10="","",IF(I10&lt;=H10,"Yes","No"))</f>
        <v/>
      </c>
      <c r="L10" s="40"/>
      <c r="M10" s="40"/>
      <c r="N10" s="40"/>
      <c r="O10" s="42"/>
      <c r="P10" s="42"/>
      <c r="Q10" s="42" t="str">
        <f aca="false">IFERROR(IF(OR(O10="",O10=0),"",P10/O10),"")</f>
        <v/>
      </c>
    </row>
    <row r="11" customFormat="false" ht="14.25" hidden="false" customHeight="true" outlineLevel="0" collapsed="false">
      <c r="A11" s="40" t="s">
        <v>18</v>
      </c>
      <c r="B11" s="45" t="s">
        <v>158</v>
      </c>
      <c r="C11" s="40" t="s">
        <v>60</v>
      </c>
      <c r="D11" s="42" t="s">
        <v>21</v>
      </c>
      <c r="E11" s="42" t="s">
        <v>54</v>
      </c>
      <c r="F11" s="46" t="s">
        <v>28</v>
      </c>
      <c r="G11" s="43" t="n">
        <v>46266</v>
      </c>
      <c r="H11" s="43" t="n">
        <v>46295</v>
      </c>
      <c r="I11" s="43"/>
      <c r="J11" s="40"/>
      <c r="K11" s="40" t="str">
        <f aca="false">IF(I11="","",IF(I11&lt;=H11,"Yes","No"))</f>
        <v/>
      </c>
      <c r="L11" s="40"/>
      <c r="M11" s="40"/>
      <c r="N11" s="40"/>
      <c r="O11" s="47"/>
      <c r="P11" s="47"/>
      <c r="Q11" s="47" t="str">
        <f aca="false">IFERROR(IF(OR(O11="",O11=0),"",P11/O11),"")</f>
        <v/>
      </c>
    </row>
    <row r="12" customFormat="false" ht="14.25" hidden="false" customHeight="true" outlineLevel="0" collapsed="false">
      <c r="A12" s="40" t="s">
        <v>18</v>
      </c>
      <c r="B12" s="45" t="s">
        <v>159</v>
      </c>
      <c r="C12" s="40" t="s">
        <v>60</v>
      </c>
      <c r="D12" s="42" t="s">
        <v>21</v>
      </c>
      <c r="E12" s="42" t="s">
        <v>54</v>
      </c>
      <c r="F12" s="46" t="s">
        <v>28</v>
      </c>
      <c r="G12" s="43" t="n">
        <v>46266</v>
      </c>
      <c r="H12" s="43" t="n">
        <v>46295</v>
      </c>
      <c r="I12" s="43"/>
      <c r="J12" s="40"/>
      <c r="K12" s="40" t="str">
        <f aca="false">IF(I12="","",IF(I12&lt;=H12,"Yes","No"))</f>
        <v/>
      </c>
      <c r="L12" s="40"/>
      <c r="M12" s="40"/>
      <c r="N12" s="40"/>
      <c r="O12" s="47"/>
      <c r="P12" s="47"/>
      <c r="Q12" s="47" t="str">
        <f aca="false">IFERROR(IF(OR(O12="",O12=0),"",P12/O12),"")</f>
        <v/>
      </c>
    </row>
    <row r="13" customFormat="false" ht="14.25" hidden="false" customHeight="true" outlineLevel="0" collapsed="false">
      <c r="A13" s="40" t="s">
        <v>18</v>
      </c>
      <c r="B13" s="45" t="s">
        <v>160</v>
      </c>
      <c r="C13" s="40" t="s">
        <v>60</v>
      </c>
      <c r="D13" s="42" t="s">
        <v>21</v>
      </c>
      <c r="E13" s="42" t="s">
        <v>54</v>
      </c>
      <c r="F13" s="46" t="s">
        <v>23</v>
      </c>
      <c r="G13" s="43" t="n">
        <v>46266</v>
      </c>
      <c r="H13" s="43" t="n">
        <v>46295</v>
      </c>
      <c r="I13" s="43"/>
      <c r="J13" s="40"/>
      <c r="K13" s="40" t="str">
        <f aca="false">IF(I13="","",IF(I13&lt;=H13,"Yes","No"))</f>
        <v/>
      </c>
      <c r="L13" s="40"/>
      <c r="M13" s="40"/>
      <c r="N13" s="40"/>
      <c r="O13" s="47"/>
      <c r="P13" s="47"/>
      <c r="Q13" s="47" t="str">
        <f aca="false">IFERROR(IF(OR(O13="",O13=0),"",P13/O13),"")</f>
        <v/>
      </c>
    </row>
    <row r="14" customFormat="false" ht="14.25" hidden="false" customHeight="true" outlineLevel="0" collapsed="false">
      <c r="A14" s="40" t="s">
        <v>18</v>
      </c>
      <c r="B14" s="45" t="s">
        <v>71</v>
      </c>
      <c r="C14" s="40" t="s">
        <v>60</v>
      </c>
      <c r="D14" s="42" t="s">
        <v>21</v>
      </c>
      <c r="E14" s="42" t="s">
        <v>54</v>
      </c>
      <c r="F14" s="46" t="s">
        <v>23</v>
      </c>
      <c r="G14" s="43" t="n">
        <v>46266</v>
      </c>
      <c r="H14" s="43" t="n">
        <v>46295</v>
      </c>
      <c r="I14" s="43"/>
      <c r="J14" s="42"/>
      <c r="K14" s="42" t="str">
        <f aca="false">IF(I14="","",IF(I14&lt;=H14,"Yes","No"))</f>
        <v/>
      </c>
      <c r="L14" s="42"/>
      <c r="M14" s="42"/>
      <c r="N14" s="42"/>
      <c r="O14" s="47"/>
      <c r="P14" s="47"/>
      <c r="Q14" s="47" t="str">
        <f aca="false">IFERROR(IF(OR(O14="",O14=0),"",P14/O14),"")</f>
        <v/>
      </c>
    </row>
    <row r="15" customFormat="false" ht="55.5" hidden="false" customHeight="true" outlineLevel="0" collapsed="false">
      <c r="A15" s="40" t="s">
        <v>18</v>
      </c>
      <c r="B15" s="45" t="s">
        <v>161</v>
      </c>
      <c r="C15" s="40" t="s">
        <v>60</v>
      </c>
      <c r="D15" s="42" t="s">
        <v>21</v>
      </c>
      <c r="E15" s="42" t="s">
        <v>54</v>
      </c>
      <c r="F15" s="46" t="s">
        <v>28</v>
      </c>
      <c r="G15" s="43" t="n">
        <v>46266</v>
      </c>
      <c r="H15" s="43" t="n">
        <v>46295</v>
      </c>
      <c r="I15" s="43"/>
      <c r="J15" s="42"/>
      <c r="K15" s="42" t="str">
        <f aca="false">IF(I15="","",IF(I15&lt;=H15,"Yes","No"))</f>
        <v/>
      </c>
      <c r="L15" s="42"/>
      <c r="M15" s="42"/>
      <c r="N15" s="42"/>
      <c r="O15" s="47"/>
      <c r="P15" s="47"/>
      <c r="Q15" s="47" t="str">
        <f aca="false">IFERROR(IF(OR(O15="",O15=0),"",P15/O15),"")</f>
        <v/>
      </c>
    </row>
    <row r="16" customFormat="false" ht="14.25" hidden="false" customHeight="true" outlineLevel="0" collapsed="false">
      <c r="A16" s="40" t="s">
        <v>18</v>
      </c>
      <c r="B16" s="45" t="s">
        <v>153</v>
      </c>
      <c r="C16" s="40" t="s">
        <v>60</v>
      </c>
      <c r="D16" s="42" t="s">
        <v>21</v>
      </c>
      <c r="E16" s="42" t="s">
        <v>54</v>
      </c>
      <c r="F16" s="46" t="s">
        <v>28</v>
      </c>
      <c r="G16" s="43" t="n">
        <v>46266</v>
      </c>
      <c r="H16" s="43" t="n">
        <v>46295</v>
      </c>
      <c r="I16" s="43"/>
      <c r="J16" s="42"/>
      <c r="K16" s="42" t="str">
        <f aca="false">IF(I16="","",IF(I16&lt;=H16,"Yes","No"))</f>
        <v/>
      </c>
      <c r="L16" s="42"/>
      <c r="M16" s="42"/>
      <c r="N16" s="42"/>
      <c r="O16" s="47"/>
      <c r="P16" s="47"/>
      <c r="Q16" s="47" t="str">
        <f aca="false">IFERROR(IF(OR(O16="",O16=0),"",P16/O16),"")</f>
        <v/>
      </c>
    </row>
    <row r="17" customFormat="false" ht="14.25" hidden="false" customHeight="true" outlineLevel="0" collapsed="false">
      <c r="A17" s="40" t="s">
        <v>18</v>
      </c>
      <c r="B17" s="45" t="s">
        <v>154</v>
      </c>
      <c r="C17" s="40" t="s">
        <v>60</v>
      </c>
      <c r="D17" s="42" t="s">
        <v>21</v>
      </c>
      <c r="E17" s="42" t="s">
        <v>54</v>
      </c>
      <c r="F17" s="46" t="s">
        <v>28</v>
      </c>
      <c r="G17" s="43" t="n">
        <v>46266</v>
      </c>
      <c r="H17" s="43" t="n">
        <v>46295</v>
      </c>
      <c r="I17" s="43"/>
      <c r="J17" s="42"/>
      <c r="K17" s="42" t="str">
        <f aca="false">IF(I17="","",IF(I17&lt;=H17,"Yes","No"))</f>
        <v/>
      </c>
      <c r="L17" s="42"/>
      <c r="M17" s="42"/>
      <c r="N17" s="42"/>
      <c r="O17" s="47"/>
      <c r="P17" s="47"/>
      <c r="Q17" s="47" t="str">
        <f aca="false">IFERROR(IF(OR(O17="",O17=0),"",P17/O17),"")</f>
        <v/>
      </c>
    </row>
    <row r="18" customFormat="false" ht="14.25" hidden="false" customHeight="true" outlineLevel="0" collapsed="false">
      <c r="A18" s="40" t="s">
        <v>18</v>
      </c>
      <c r="B18" s="45" t="s">
        <v>155</v>
      </c>
      <c r="C18" s="40" t="s">
        <v>60</v>
      </c>
      <c r="D18" s="42" t="s">
        <v>21</v>
      </c>
      <c r="E18" s="42" t="s">
        <v>54</v>
      </c>
      <c r="F18" s="46" t="s">
        <v>28</v>
      </c>
      <c r="G18" s="43" t="n">
        <v>46266</v>
      </c>
      <c r="H18" s="43" t="n">
        <v>46295</v>
      </c>
      <c r="I18" s="43"/>
      <c r="J18" s="42"/>
      <c r="K18" s="42" t="str">
        <f aca="false">IF(I18="","",IF(I18&lt;=H18,"Yes","No"))</f>
        <v/>
      </c>
      <c r="L18" s="42"/>
      <c r="M18" s="42"/>
      <c r="N18" s="42"/>
      <c r="O18" s="47"/>
      <c r="P18" s="47"/>
      <c r="Q18" s="47" t="str">
        <f aca="false">IFERROR(IF(OR(O18="",O18=0),"",P18/O18),"")</f>
        <v/>
      </c>
    </row>
    <row r="19" customFormat="false" ht="14.25" hidden="false" customHeight="true" outlineLevel="0" collapsed="false">
      <c r="A19" s="40" t="s">
        <v>18</v>
      </c>
      <c r="B19" s="45" t="s">
        <v>162</v>
      </c>
      <c r="C19" s="40" t="s">
        <v>60</v>
      </c>
      <c r="D19" s="42" t="s">
        <v>21</v>
      </c>
      <c r="E19" s="42" t="s">
        <v>54</v>
      </c>
      <c r="F19" s="46" t="s">
        <v>28</v>
      </c>
      <c r="G19" s="43" t="n">
        <v>46266</v>
      </c>
      <c r="H19" s="43" t="n">
        <v>46295</v>
      </c>
      <c r="I19" s="43"/>
      <c r="J19" s="42"/>
      <c r="K19" s="42" t="str">
        <f aca="false">IF(I19="","",IF(I19&lt;=H19,"Yes","No"))</f>
        <v/>
      </c>
      <c r="L19" s="42"/>
      <c r="M19" s="42"/>
      <c r="N19" s="42"/>
      <c r="O19" s="47"/>
      <c r="P19" s="47"/>
      <c r="Q19" s="47" t="str">
        <f aca="false">IFERROR(IF(OR(O19="",O19=0),"",P19/O19),"")</f>
        <v/>
      </c>
    </row>
    <row r="20" customFormat="false" ht="14.25" hidden="false" customHeight="true" outlineLevel="0" collapsed="false">
      <c r="A20" s="40" t="s">
        <v>18</v>
      </c>
      <c r="B20" s="45" t="s">
        <v>157</v>
      </c>
      <c r="C20" s="40" t="s">
        <v>60</v>
      </c>
      <c r="D20" s="42" t="s">
        <v>21</v>
      </c>
      <c r="E20" s="42" t="s">
        <v>54</v>
      </c>
      <c r="F20" s="46" t="s">
        <v>28</v>
      </c>
      <c r="G20" s="43" t="n">
        <v>46266</v>
      </c>
      <c r="H20" s="43" t="n">
        <v>46295</v>
      </c>
      <c r="I20" s="43"/>
      <c r="J20" s="42"/>
      <c r="K20" s="42" t="str">
        <f aca="false">IF(I20="","",IF(I20&lt;=H20,"Yes","No"))</f>
        <v/>
      </c>
      <c r="L20" s="42"/>
      <c r="M20" s="42"/>
      <c r="N20" s="42"/>
      <c r="O20" s="47"/>
      <c r="P20" s="47"/>
      <c r="Q20" s="47" t="str">
        <f aca="false">IFERROR(IF(OR(O20="",O20=0),"",P20/O20),"")</f>
        <v/>
      </c>
    </row>
    <row r="21" customFormat="false" ht="14.25" hidden="false" customHeight="true" outlineLevel="0" collapsed="false">
      <c r="A21" s="40" t="s">
        <v>18</v>
      </c>
      <c r="B21" s="45" t="s">
        <v>163</v>
      </c>
      <c r="C21" s="40" t="s">
        <v>64</v>
      </c>
      <c r="D21" s="42" t="s">
        <v>21</v>
      </c>
      <c r="E21" s="40" t="s">
        <v>60</v>
      </c>
      <c r="F21" s="48" t="s">
        <v>28</v>
      </c>
      <c r="G21" s="43" t="n">
        <v>46266</v>
      </c>
      <c r="H21" s="43" t="n">
        <v>46295</v>
      </c>
      <c r="I21" s="43"/>
      <c r="J21" s="42"/>
      <c r="K21" s="42" t="str">
        <f aca="false">IF(I21="","",IF(I21&lt;=H21,"Yes","No"))</f>
        <v/>
      </c>
      <c r="L21" s="42"/>
      <c r="M21" s="42"/>
      <c r="N21" s="42"/>
      <c r="O21" s="49"/>
      <c r="P21" s="49"/>
      <c r="Q21" s="49" t="str">
        <f aca="false">IFERROR(IF(OR(O21="",O21=0),"",P21/O21),"")</f>
        <v/>
      </c>
    </row>
    <row r="22" customFormat="false" ht="27.75" hidden="false" customHeight="true" outlineLevel="0" collapsed="false">
      <c r="A22" s="40" t="s">
        <v>18</v>
      </c>
      <c r="B22" s="45" t="s">
        <v>164</v>
      </c>
      <c r="C22" s="40" t="s">
        <v>64</v>
      </c>
      <c r="D22" s="42" t="s">
        <v>21</v>
      </c>
      <c r="E22" s="40" t="s">
        <v>60</v>
      </c>
      <c r="F22" s="48" t="s">
        <v>28</v>
      </c>
      <c r="G22" s="43" t="n">
        <v>46266</v>
      </c>
      <c r="H22" s="43" t="n">
        <v>46295</v>
      </c>
      <c r="I22" s="43"/>
      <c r="J22" s="42"/>
      <c r="K22" s="42" t="str">
        <f aca="false">IF(I22="","",IF(I22&lt;=H22,"Yes","No"))</f>
        <v/>
      </c>
      <c r="L22" s="42"/>
      <c r="M22" s="42"/>
      <c r="N22" s="42"/>
      <c r="O22" s="49"/>
      <c r="P22" s="49"/>
      <c r="Q22" s="49" t="str">
        <f aca="false">IFERROR(IF(OR(O22="",O22=0),"",P22/O22),"")</f>
        <v/>
      </c>
    </row>
    <row r="23" customFormat="false" ht="14.25" hidden="false" customHeight="true" outlineLevel="0" collapsed="false">
      <c r="A23" s="40" t="s">
        <v>18</v>
      </c>
      <c r="B23" s="45" t="s">
        <v>165</v>
      </c>
      <c r="C23" s="40" t="s">
        <v>64</v>
      </c>
      <c r="D23" s="42" t="s">
        <v>21</v>
      </c>
      <c r="E23" s="40" t="s">
        <v>60</v>
      </c>
      <c r="F23" s="48" t="s">
        <v>28</v>
      </c>
      <c r="G23" s="43" t="n">
        <v>46266</v>
      </c>
      <c r="H23" s="43" t="n">
        <v>46295</v>
      </c>
      <c r="I23" s="43"/>
      <c r="J23" s="42"/>
      <c r="K23" s="42" t="str">
        <f aca="false">IF(I23="","",IF(I23&lt;=H23,"Yes","No"))</f>
        <v/>
      </c>
      <c r="L23" s="42"/>
      <c r="M23" s="42"/>
      <c r="N23" s="42"/>
      <c r="O23" s="49"/>
      <c r="P23" s="49"/>
      <c r="Q23" s="49" t="str">
        <f aca="false">IFERROR(IF(OR(O23="",O23=0),"",P23/O23),"")</f>
        <v/>
      </c>
    </row>
    <row r="24" customFormat="false" ht="14.25" hidden="false" customHeight="true" outlineLevel="0" collapsed="false">
      <c r="A24" s="10" t="s">
        <v>18</v>
      </c>
      <c r="B24" s="50" t="s">
        <v>166</v>
      </c>
      <c r="C24" s="12" t="s">
        <v>68</v>
      </c>
      <c r="D24" s="10" t="s">
        <v>21</v>
      </c>
      <c r="E24" s="10" t="s">
        <v>54</v>
      </c>
      <c r="F24" s="10" t="s">
        <v>28</v>
      </c>
      <c r="G24" s="5" t="n">
        <v>46266</v>
      </c>
      <c r="H24" s="5" t="n">
        <v>46295</v>
      </c>
      <c r="I24" s="5"/>
      <c r="J24" s="4"/>
      <c r="K24" s="4" t="str">
        <f aca="false">IF(I24="","",IF(I24&lt;=H24,"Yes","No"))</f>
        <v/>
      </c>
      <c r="L24" s="4"/>
      <c r="M24" s="4"/>
      <c r="N24" s="4"/>
      <c r="O24" s="6"/>
      <c r="P24" s="6"/>
      <c r="Q24" s="7" t="str">
        <f aca="false">IFERROR(IF(OR(O24="",O24=0),"",P24/O24),"")</f>
        <v/>
      </c>
    </row>
    <row r="25" customFormat="false" ht="27.75" hidden="false" customHeight="true" outlineLevel="0" collapsed="false">
      <c r="A25" s="10" t="s">
        <v>18</v>
      </c>
      <c r="B25" s="50" t="s">
        <v>167</v>
      </c>
      <c r="C25" s="12" t="s">
        <v>68</v>
      </c>
      <c r="D25" s="10" t="s">
        <v>21</v>
      </c>
      <c r="E25" s="10" t="s">
        <v>54</v>
      </c>
      <c r="F25" s="10" t="s">
        <v>28</v>
      </c>
      <c r="G25" s="5" t="n">
        <v>46266</v>
      </c>
      <c r="H25" s="5" t="n">
        <v>46295</v>
      </c>
      <c r="I25" s="5"/>
      <c r="J25" s="4"/>
      <c r="K25" s="4" t="str">
        <f aca="false">IF(I25="","",IF(I25&lt;=H25,"Yes","No"))</f>
        <v/>
      </c>
      <c r="L25" s="4"/>
      <c r="M25" s="4"/>
      <c r="N25" s="4"/>
      <c r="O25" s="6"/>
      <c r="P25" s="6"/>
      <c r="Q25" s="7" t="str">
        <f aca="false">IFERROR(IF(OR(O25="",O25=0),"",P25/O25),"")</f>
        <v/>
      </c>
    </row>
    <row r="26" customFormat="false" ht="14.25" hidden="false" customHeight="true" outlineLevel="0" collapsed="false">
      <c r="A26" s="10" t="s">
        <v>18</v>
      </c>
      <c r="B26" s="51" t="s">
        <v>168</v>
      </c>
      <c r="C26" s="12" t="s">
        <v>68</v>
      </c>
      <c r="D26" s="10" t="s">
        <v>21</v>
      </c>
      <c r="E26" s="10" t="s">
        <v>54</v>
      </c>
      <c r="F26" s="10" t="s">
        <v>28</v>
      </c>
      <c r="G26" s="5" t="n">
        <v>46266</v>
      </c>
      <c r="H26" s="5" t="n">
        <v>46295</v>
      </c>
      <c r="I26" s="5"/>
      <c r="J26" s="4"/>
      <c r="K26" s="4" t="str">
        <f aca="false">IF(I26="","",IF(I26&lt;=H26,"Yes","No"))</f>
        <v/>
      </c>
      <c r="L26" s="4"/>
      <c r="M26" s="4"/>
      <c r="N26" s="4"/>
      <c r="O26" s="6"/>
      <c r="P26" s="6"/>
      <c r="Q26" s="7" t="str">
        <f aca="false">IFERROR(IF(OR(O26="",O26=0),"",P26/O26),"")</f>
        <v/>
      </c>
    </row>
    <row r="27" customFormat="false" ht="14.25" hidden="false" customHeight="true" outlineLevel="0" collapsed="false">
      <c r="A27" s="10" t="s">
        <v>18</v>
      </c>
      <c r="B27" s="51" t="s">
        <v>169</v>
      </c>
      <c r="C27" s="12" t="s">
        <v>68</v>
      </c>
      <c r="D27" s="10" t="s">
        <v>21</v>
      </c>
      <c r="E27" s="10" t="s">
        <v>54</v>
      </c>
      <c r="F27" s="10" t="s">
        <v>28</v>
      </c>
      <c r="G27" s="5" t="n">
        <v>46266</v>
      </c>
      <c r="H27" s="5" t="n">
        <v>46295</v>
      </c>
      <c r="I27" s="5"/>
      <c r="J27" s="4"/>
      <c r="K27" s="4" t="str">
        <f aca="false">IF(I27="","",IF(I27&lt;=H27,"Yes","No"))</f>
        <v/>
      </c>
      <c r="L27" s="4"/>
      <c r="M27" s="4"/>
      <c r="N27" s="4"/>
      <c r="O27" s="6"/>
      <c r="P27" s="6"/>
      <c r="Q27" s="7" t="str">
        <f aca="false">IFERROR(IF(OR(O27="",O27=0),"",P27/O27),"")</f>
        <v/>
      </c>
    </row>
    <row r="28" customFormat="false" ht="14.25" hidden="false" customHeight="true" outlineLevel="0" collapsed="false">
      <c r="A28" s="10" t="s">
        <v>18</v>
      </c>
      <c r="B28" s="51" t="s">
        <v>170</v>
      </c>
      <c r="C28" s="12" t="s">
        <v>68</v>
      </c>
      <c r="D28" s="10" t="s">
        <v>21</v>
      </c>
      <c r="E28" s="10" t="s">
        <v>54</v>
      </c>
      <c r="F28" s="10" t="s">
        <v>28</v>
      </c>
      <c r="G28" s="5" t="n">
        <v>46266</v>
      </c>
      <c r="H28" s="5" t="n">
        <v>46295</v>
      </c>
      <c r="I28" s="5"/>
      <c r="J28" s="4"/>
      <c r="K28" s="4" t="str">
        <f aca="false">IF(I28="","",IF(I28&lt;=H28,"Yes","No"))</f>
        <v/>
      </c>
      <c r="L28" s="4"/>
      <c r="M28" s="4"/>
      <c r="N28" s="4"/>
      <c r="O28" s="6"/>
      <c r="P28" s="6"/>
      <c r="Q28" s="7" t="str">
        <f aca="false">IFERROR(IF(OR(O28="",O28=0),"",P28/O28),"")</f>
        <v/>
      </c>
    </row>
    <row r="29" customFormat="false" ht="55.5" hidden="false" customHeight="true" outlineLevel="0" collapsed="false">
      <c r="A29" s="10" t="s">
        <v>18</v>
      </c>
      <c r="B29" s="50" t="s">
        <v>161</v>
      </c>
      <c r="C29" s="12" t="s">
        <v>68</v>
      </c>
      <c r="D29" s="10" t="s">
        <v>21</v>
      </c>
      <c r="E29" s="10" t="s">
        <v>54</v>
      </c>
      <c r="F29" s="10" t="s">
        <v>28</v>
      </c>
      <c r="G29" s="5" t="n">
        <v>46266</v>
      </c>
      <c r="H29" s="5" t="n">
        <v>46295</v>
      </c>
      <c r="I29" s="5"/>
      <c r="J29" s="4"/>
      <c r="K29" s="4" t="str">
        <f aca="false">IF(I29="","",IF(I29&lt;=H29,"Yes","No"))</f>
        <v/>
      </c>
      <c r="L29" s="4"/>
      <c r="M29" s="4"/>
      <c r="N29" s="4"/>
      <c r="O29" s="6"/>
      <c r="P29" s="6"/>
      <c r="Q29" s="7" t="str">
        <f aca="false">IFERROR(IF(OR(O29="",O29=0),"",P29/O29),"")</f>
        <v/>
      </c>
    </row>
    <row r="30" customFormat="false" ht="14.25" hidden="false" customHeight="true" outlineLevel="0" collapsed="false">
      <c r="A30" s="10" t="s">
        <v>18</v>
      </c>
      <c r="B30" s="50" t="s">
        <v>153</v>
      </c>
      <c r="C30" s="12" t="s">
        <v>68</v>
      </c>
      <c r="D30" s="10" t="s">
        <v>21</v>
      </c>
      <c r="E30" s="10" t="s">
        <v>54</v>
      </c>
      <c r="F30" s="10" t="s">
        <v>28</v>
      </c>
      <c r="G30" s="5" t="n">
        <v>46266</v>
      </c>
      <c r="H30" s="5" t="n">
        <v>46295</v>
      </c>
      <c r="I30" s="5"/>
      <c r="J30" s="4"/>
      <c r="K30" s="4" t="str">
        <f aca="false">IF(I30="","",IF(I30&lt;=H30,"Yes","No"))</f>
        <v/>
      </c>
      <c r="L30" s="4"/>
      <c r="M30" s="4"/>
      <c r="N30" s="4"/>
      <c r="O30" s="6"/>
      <c r="P30" s="6"/>
      <c r="Q30" s="7" t="str">
        <f aca="false">IFERROR(IF(OR(O30="",O30=0),"",P30/O30),"")</f>
        <v/>
      </c>
    </row>
    <row r="31" customFormat="false" ht="14.25" hidden="false" customHeight="true" outlineLevel="0" collapsed="false">
      <c r="A31" s="10" t="s">
        <v>18</v>
      </c>
      <c r="B31" s="50" t="s">
        <v>154</v>
      </c>
      <c r="C31" s="12" t="s">
        <v>68</v>
      </c>
      <c r="D31" s="10" t="s">
        <v>21</v>
      </c>
      <c r="E31" s="10" t="s">
        <v>54</v>
      </c>
      <c r="F31" s="10" t="s">
        <v>28</v>
      </c>
      <c r="G31" s="5" t="n">
        <v>46266</v>
      </c>
      <c r="H31" s="5" t="n">
        <v>46295</v>
      </c>
      <c r="I31" s="5"/>
      <c r="J31" s="4"/>
      <c r="K31" s="4" t="str">
        <f aca="false">IF(I31="","",IF(I31&lt;=H31,"Yes","No"))</f>
        <v/>
      </c>
      <c r="L31" s="4"/>
      <c r="M31" s="4"/>
      <c r="N31" s="4"/>
      <c r="O31" s="6"/>
      <c r="P31" s="6"/>
      <c r="Q31" s="7" t="str">
        <f aca="false">IFERROR(IF(OR(O31="",O31=0),"",P31/O31),"")</f>
        <v/>
      </c>
    </row>
    <row r="32" customFormat="false" ht="14.25" hidden="false" customHeight="true" outlineLevel="0" collapsed="false">
      <c r="A32" s="10" t="s">
        <v>18</v>
      </c>
      <c r="B32" s="50" t="s">
        <v>162</v>
      </c>
      <c r="C32" s="12" t="s">
        <v>68</v>
      </c>
      <c r="D32" s="10" t="s">
        <v>21</v>
      </c>
      <c r="E32" s="10" t="s">
        <v>54</v>
      </c>
      <c r="F32" s="10" t="s">
        <v>28</v>
      </c>
      <c r="G32" s="5" t="n">
        <v>46266</v>
      </c>
      <c r="H32" s="5" t="n">
        <v>46295</v>
      </c>
      <c r="I32" s="5"/>
      <c r="J32" s="4"/>
      <c r="K32" s="4" t="str">
        <f aca="false">IF(I32="","",IF(I32&lt;=H32,"Yes","No"))</f>
        <v/>
      </c>
      <c r="L32" s="4"/>
      <c r="M32" s="4"/>
      <c r="N32" s="4"/>
      <c r="O32" s="6"/>
      <c r="P32" s="6"/>
      <c r="Q32" s="7" t="str">
        <f aca="false">IFERROR(IF(OR(O32="",O32=0),"",P32/O32),"")</f>
        <v/>
      </c>
    </row>
    <row r="33" customFormat="false" ht="14.25" hidden="false" customHeight="true" outlineLevel="0" collapsed="false">
      <c r="A33" s="10" t="s">
        <v>18</v>
      </c>
      <c r="B33" s="50" t="s">
        <v>157</v>
      </c>
      <c r="C33" s="12" t="s">
        <v>68</v>
      </c>
      <c r="D33" s="10" t="s">
        <v>21</v>
      </c>
      <c r="E33" s="10" t="s">
        <v>54</v>
      </c>
      <c r="F33" s="10" t="s">
        <v>28</v>
      </c>
      <c r="G33" s="5" t="n">
        <v>46266</v>
      </c>
      <c r="H33" s="5" t="n">
        <v>46295</v>
      </c>
      <c r="I33" s="5"/>
      <c r="J33" s="4"/>
      <c r="K33" s="4" t="str">
        <f aca="false">IF(I33="","",IF(I33&lt;=H33,"Yes","No"))</f>
        <v/>
      </c>
      <c r="L33" s="4"/>
      <c r="M33" s="4"/>
      <c r="N33" s="4"/>
      <c r="O33" s="6"/>
      <c r="P33" s="6"/>
      <c r="Q33" s="7" t="str">
        <f aca="false">IFERROR(IF(OR(O33="",O33=0),"",P33/O33),"")</f>
        <v/>
      </c>
    </row>
    <row r="34" customFormat="false" ht="28.5" hidden="false" customHeight="true" outlineLevel="0" collapsed="false">
      <c r="A34" s="10" t="s">
        <v>18</v>
      </c>
      <c r="B34" s="51" t="s">
        <v>171</v>
      </c>
      <c r="C34" s="12" t="s">
        <v>68</v>
      </c>
      <c r="D34" s="10" t="s">
        <v>21</v>
      </c>
      <c r="E34" s="10" t="s">
        <v>54</v>
      </c>
      <c r="F34" s="10" t="s">
        <v>28</v>
      </c>
      <c r="G34" s="5" t="n">
        <v>46266</v>
      </c>
      <c r="H34" s="5" t="n">
        <v>46295</v>
      </c>
      <c r="I34" s="5"/>
      <c r="J34" s="4"/>
      <c r="K34" s="4" t="str">
        <f aca="false">IF(I34="","",IF(I34&lt;=H34,"Yes","No"))</f>
        <v/>
      </c>
      <c r="L34" s="4"/>
      <c r="M34" s="4"/>
      <c r="N34" s="4"/>
      <c r="O34" s="6"/>
      <c r="P34" s="6"/>
      <c r="Q34" s="7" t="str">
        <f aca="false">IFERROR(IF(OR(O34="",O34=0),"",P34/O34),"")</f>
        <v/>
      </c>
    </row>
    <row r="35" customFormat="false" ht="14.25" hidden="false" customHeight="true" outlineLevel="0" collapsed="false">
      <c r="A35" s="3" t="s">
        <v>18</v>
      </c>
      <c r="B35" s="9" t="s">
        <v>172</v>
      </c>
      <c r="C35" s="4" t="s">
        <v>31</v>
      </c>
      <c r="D35" s="3" t="s">
        <v>21</v>
      </c>
      <c r="E35" s="4" t="s">
        <v>22</v>
      </c>
      <c r="F35" s="3" t="s">
        <v>28</v>
      </c>
      <c r="G35" s="5" t="n">
        <v>46266</v>
      </c>
      <c r="H35" s="5" t="n">
        <v>46295</v>
      </c>
      <c r="I35" s="5"/>
      <c r="J35" s="3"/>
      <c r="K35" s="3" t="str">
        <f aca="false">IF(I35="","",IF(I35&lt;=H35,"Yes","No"))</f>
        <v/>
      </c>
      <c r="L35" s="3"/>
      <c r="M35" s="3"/>
      <c r="N35" s="3"/>
      <c r="O35" s="4"/>
      <c r="P35" s="4"/>
      <c r="Q35" s="4" t="str">
        <f aca="false">IFERROR(IF(OR(O35="",O35=0),"",P35/O35),"")</f>
        <v/>
      </c>
    </row>
    <row r="36" customFormat="false" ht="14.25" hidden="false" customHeight="true" outlineLevel="0" collapsed="false">
      <c r="A36" s="3" t="s">
        <v>18</v>
      </c>
      <c r="B36" s="9" t="s">
        <v>157</v>
      </c>
      <c r="C36" s="4" t="s">
        <v>31</v>
      </c>
      <c r="D36" s="3" t="s">
        <v>21</v>
      </c>
      <c r="E36" s="4" t="s">
        <v>22</v>
      </c>
      <c r="F36" s="3" t="s">
        <v>28</v>
      </c>
      <c r="G36" s="5" t="n">
        <v>46266</v>
      </c>
      <c r="H36" s="5" t="n">
        <v>46295</v>
      </c>
      <c r="I36" s="5"/>
      <c r="J36" s="3"/>
      <c r="K36" s="3" t="str">
        <f aca="false">IF(I36="","",IF(I36&lt;=H36,"Yes","No"))</f>
        <v/>
      </c>
      <c r="L36" s="3"/>
      <c r="M36" s="3"/>
      <c r="N36" s="3"/>
      <c r="O36" s="52"/>
      <c r="P36" s="4"/>
      <c r="Q36" s="4" t="str">
        <f aca="false">IFERROR(IF(OR(O36="",O36=0),"",P36/O36),"")</f>
        <v/>
      </c>
    </row>
    <row r="37" customFormat="false" ht="14.25" hidden="false" customHeight="true" outlineLevel="0" collapsed="false">
      <c r="A37" s="3" t="s">
        <v>18</v>
      </c>
      <c r="B37" s="9" t="s">
        <v>150</v>
      </c>
      <c r="C37" s="4" t="s">
        <v>37</v>
      </c>
      <c r="D37" s="3" t="s">
        <v>21</v>
      </c>
      <c r="E37" s="4" t="s">
        <v>22</v>
      </c>
      <c r="F37" s="3" t="s">
        <v>28</v>
      </c>
      <c r="G37" s="5" t="n">
        <v>46266</v>
      </c>
      <c r="H37" s="5" t="n">
        <v>46295</v>
      </c>
      <c r="I37" s="5"/>
      <c r="J37" s="3"/>
      <c r="K37" s="3" t="str">
        <f aca="false">IF(I37="","",IF(I37&lt;=H37,"Yes","No"))</f>
        <v/>
      </c>
      <c r="L37" s="3"/>
      <c r="M37" s="3"/>
      <c r="N37" s="3"/>
      <c r="O37" s="52"/>
      <c r="P37" s="4"/>
      <c r="Q37" s="4" t="str">
        <f aca="false">IFERROR(IF(OR(O37="",O37=0),"",P37/O37),"")</f>
        <v/>
      </c>
    </row>
    <row r="38" customFormat="false" ht="14.25" hidden="false" customHeight="true" outlineLevel="0" collapsed="false">
      <c r="A38" s="3" t="s">
        <v>18</v>
      </c>
      <c r="B38" s="9" t="s">
        <v>173</v>
      </c>
      <c r="C38" s="4" t="s">
        <v>37</v>
      </c>
      <c r="D38" s="3" t="s">
        <v>21</v>
      </c>
      <c r="E38" s="4" t="s">
        <v>22</v>
      </c>
      <c r="F38" s="3" t="s">
        <v>28</v>
      </c>
      <c r="G38" s="5" t="n">
        <v>46266</v>
      </c>
      <c r="H38" s="5" t="n">
        <v>46295</v>
      </c>
      <c r="I38" s="5"/>
      <c r="J38" s="3"/>
      <c r="K38" s="3" t="str">
        <f aca="false">IF(I38="","",IF(I38&lt;=H38,"Yes","No"))</f>
        <v/>
      </c>
      <c r="L38" s="3"/>
      <c r="M38" s="3"/>
      <c r="N38" s="3"/>
      <c r="O38" s="52"/>
      <c r="P38" s="4"/>
      <c r="Q38" s="4" t="str">
        <f aca="false">IFERROR(IF(OR(O38="",O38=0),"",P38/O38),"")</f>
        <v/>
      </c>
    </row>
    <row r="39" customFormat="false" ht="14.25" hidden="false" customHeight="true" outlineLevel="0" collapsed="false">
      <c r="A39" s="3" t="s">
        <v>18</v>
      </c>
      <c r="B39" s="9" t="s">
        <v>157</v>
      </c>
      <c r="C39" s="4" t="s">
        <v>37</v>
      </c>
      <c r="D39" s="3" t="s">
        <v>21</v>
      </c>
      <c r="E39" s="4" t="s">
        <v>22</v>
      </c>
      <c r="F39" s="3" t="s">
        <v>28</v>
      </c>
      <c r="G39" s="5" t="n">
        <v>46266</v>
      </c>
      <c r="H39" s="5" t="n">
        <v>46295</v>
      </c>
      <c r="I39" s="5"/>
      <c r="J39" s="3"/>
      <c r="K39" s="3" t="str">
        <f aca="false">IF(I39="","",IF(I39&lt;=H39,"Yes","No"))</f>
        <v/>
      </c>
      <c r="L39" s="3"/>
      <c r="M39" s="3"/>
      <c r="N39" s="3"/>
      <c r="O39" s="52"/>
      <c r="P39" s="4"/>
      <c r="Q39" s="4" t="str">
        <f aca="false">IFERROR(IF(OR(O39="",O39=0),"",P39/O39),"")</f>
        <v/>
      </c>
    </row>
    <row r="40" customFormat="false" ht="14.25" hidden="false" customHeight="true" outlineLevel="0" collapsed="false">
      <c r="A40" s="3" t="s">
        <v>18</v>
      </c>
      <c r="B40" s="9" t="s">
        <v>174</v>
      </c>
      <c r="C40" s="4" t="s">
        <v>44</v>
      </c>
      <c r="D40" s="3" t="s">
        <v>21</v>
      </c>
      <c r="E40" s="4" t="s">
        <v>22</v>
      </c>
      <c r="F40" s="3" t="s">
        <v>23</v>
      </c>
      <c r="G40" s="5" t="n">
        <v>46266</v>
      </c>
      <c r="H40" s="5" t="n">
        <v>46295</v>
      </c>
      <c r="I40" s="5"/>
      <c r="J40" s="3"/>
      <c r="K40" s="3" t="str">
        <f aca="false">IF(I40="","",IF(I40&lt;=H40,"Yes","No"))</f>
        <v/>
      </c>
      <c r="L40" s="3"/>
      <c r="M40" s="3"/>
      <c r="N40" s="3"/>
      <c r="O40" s="42"/>
      <c r="P40" s="4"/>
      <c r="Q40" s="4" t="str">
        <f aca="false">IFERROR(IF(OR(O40="",O40=0),"",P40/O40),"")</f>
        <v/>
      </c>
    </row>
    <row r="41" customFormat="false" ht="14.25" hidden="false" customHeight="true" outlineLevel="0" collapsed="false">
      <c r="A41" s="37"/>
      <c r="B41" s="38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customFormat="false" ht="14.25" hidden="false" customHeight="true" outlineLevel="0" collapsed="false">
      <c r="A42" s="37"/>
      <c r="B42" s="38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customFormat="false" ht="14.25" hidden="false" customHeight="true" outlineLevel="0" collapsed="false">
      <c r="A43" s="37"/>
      <c r="B43" s="3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customFormat="false" ht="14.25" hidden="false" customHeight="true" outlineLevel="0" collapsed="false">
      <c r="A44" s="37"/>
      <c r="B44" s="38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customFormat="false" ht="14.25" hidden="false" customHeight="true" outlineLevel="0" collapsed="false">
      <c r="A45" s="37"/>
      <c r="B45" s="3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customFormat="false" ht="14.25" hidden="false" customHeight="true" outlineLevel="0" collapsed="false">
      <c r="A46" s="37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customFormat="false" ht="14.25" hidden="false" customHeight="true" outlineLevel="0" collapsed="false">
      <c r="A47" s="37"/>
      <c r="B47" s="3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customFormat="false" ht="14.25" hidden="false" customHeight="true" outlineLevel="0" collapsed="false">
      <c r="A48" s="37"/>
      <c r="B48" s="38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customFormat="false" ht="14.25" hidden="false" customHeight="true" outlineLevel="0" collapsed="false">
      <c r="A49" s="37"/>
      <c r="B49" s="3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customFormat="false" ht="14.25" hidden="false" customHeight="true" outlineLevel="0" collapsed="false">
      <c r="A50" s="37"/>
      <c r="B50" s="38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</row>
    <row r="51" customFormat="false" ht="14.25" hidden="false" customHeight="true" outlineLevel="0" collapsed="false">
      <c r="A51" s="37"/>
      <c r="B51" s="3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</row>
    <row r="52" customFormat="false" ht="14.25" hidden="false" customHeight="true" outlineLevel="0" collapsed="false">
      <c r="A52" s="37"/>
      <c r="B52" s="38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</row>
    <row r="53" customFormat="false" ht="14.25" hidden="false" customHeight="true" outlineLevel="0" collapsed="false">
      <c r="A53" s="37"/>
      <c r="B53" s="38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customFormat="false" ht="14.25" hidden="false" customHeight="true" outlineLevel="0" collapsed="false">
      <c r="A54" s="37"/>
      <c r="B54" s="38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customFormat="false" ht="14.25" hidden="false" customHeight="true" outlineLevel="0" collapsed="false">
      <c r="A55" s="37"/>
      <c r="B55" s="38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customFormat="false" ht="14.25" hidden="false" customHeight="true" outlineLevel="0" collapsed="false">
      <c r="A56" s="37"/>
      <c r="B56" s="38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  <row r="57" customFormat="false" ht="14.25" hidden="false" customHeight="true" outlineLevel="0" collapsed="false">
      <c r="A57" s="37"/>
      <c r="B57" s="38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</row>
    <row r="58" customFormat="false" ht="14.25" hidden="false" customHeight="true" outlineLevel="0" collapsed="false">
      <c r="A58" s="37"/>
      <c r="B58" s="38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</row>
    <row r="59" customFormat="false" ht="14.25" hidden="false" customHeight="true" outlineLevel="0" collapsed="false">
      <c r="A59" s="37"/>
      <c r="B59" s="38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</row>
    <row r="60" customFormat="false" ht="14.25" hidden="false" customHeight="true" outlineLevel="0" collapsed="false">
      <c r="A60" s="37"/>
      <c r="B60" s="38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</row>
    <row r="61" customFormat="false" ht="14.25" hidden="false" customHeight="true" outlineLevel="0" collapsed="false">
      <c r="A61" s="37"/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</row>
    <row r="62" customFormat="false" ht="14.25" hidden="false" customHeight="true" outlineLevel="0" collapsed="false">
      <c r="A62" s="37"/>
      <c r="B62" s="38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</row>
    <row r="63" customFormat="false" ht="14.25" hidden="false" customHeight="true" outlineLevel="0" collapsed="false">
      <c r="A63" s="37"/>
      <c r="B63" s="38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 customFormat="false" ht="14.25" hidden="false" customHeight="true" outlineLevel="0" collapsed="false">
      <c r="A64" s="37"/>
      <c r="B64" s="38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</row>
    <row r="65" customFormat="false" ht="14.25" hidden="false" customHeight="true" outlineLevel="0" collapsed="false">
      <c r="A65" s="37"/>
      <c r="B65" s="38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6" customFormat="false" ht="14.25" hidden="false" customHeight="true" outlineLevel="0" collapsed="false">
      <c r="A66" s="37"/>
      <c r="B66" s="38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</row>
    <row r="67" customFormat="false" ht="14.25" hidden="false" customHeight="true" outlineLevel="0" collapsed="false">
      <c r="A67" s="37"/>
      <c r="B67" s="38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</row>
    <row r="68" customFormat="false" ht="14.25" hidden="false" customHeight="true" outlineLevel="0" collapsed="false">
      <c r="A68" s="37"/>
      <c r="B68" s="38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</row>
    <row r="69" customFormat="false" ht="14.25" hidden="false" customHeight="true" outlineLevel="0" collapsed="false">
      <c r="A69" s="37"/>
      <c r="B69" s="38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</row>
    <row r="70" customFormat="false" ht="14.25" hidden="false" customHeight="true" outlineLevel="0" collapsed="false">
      <c r="A70" s="37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</row>
    <row r="71" customFormat="false" ht="14.25" hidden="false" customHeight="true" outlineLevel="0" collapsed="false">
      <c r="A71" s="37"/>
      <c r="B71" s="38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</row>
    <row r="72" customFormat="false" ht="14.25" hidden="false" customHeight="true" outlineLevel="0" collapsed="false">
      <c r="A72" s="37"/>
      <c r="B72" s="38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</row>
    <row r="73" customFormat="false" ht="14.25" hidden="false" customHeight="true" outlineLevel="0" collapsed="false">
      <c r="A73" s="37"/>
      <c r="B73" s="38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 customFormat="false" ht="14.25" hidden="false" customHeight="true" outlineLevel="0" collapsed="false">
      <c r="A74" s="37"/>
      <c r="B74" s="38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</row>
    <row r="75" customFormat="false" ht="14.25" hidden="false" customHeight="true" outlineLevel="0" collapsed="false">
      <c r="A75" s="37"/>
      <c r="B75" s="38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</row>
    <row r="76" customFormat="false" ht="14.25" hidden="false" customHeight="true" outlineLevel="0" collapsed="false">
      <c r="A76" s="37"/>
      <c r="B76" s="38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</row>
    <row r="77" customFormat="false" ht="14.25" hidden="false" customHeight="true" outlineLevel="0" collapsed="false">
      <c r="A77" s="37"/>
      <c r="B77" s="38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</row>
    <row r="78" customFormat="false" ht="14.25" hidden="false" customHeight="true" outlineLevel="0" collapsed="false">
      <c r="A78" s="37"/>
      <c r="B78" s="38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</row>
    <row r="79" customFormat="false" ht="14.25" hidden="false" customHeight="true" outlineLevel="0" collapsed="false">
      <c r="A79" s="37"/>
      <c r="B79" s="38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 customFormat="false" ht="14.25" hidden="false" customHeight="true" outlineLevel="0" collapsed="false">
      <c r="A80" s="37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 customFormat="false" ht="14.25" hidden="false" customHeight="true" outlineLevel="0" collapsed="false">
      <c r="A81" s="37"/>
      <c r="B81" s="38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</row>
    <row r="82" customFormat="false" ht="14.25" hidden="false" customHeight="true" outlineLevel="0" collapsed="false">
      <c r="A82" s="37"/>
      <c r="B82" s="38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</row>
    <row r="83" customFormat="false" ht="14.25" hidden="false" customHeight="true" outlineLevel="0" collapsed="false">
      <c r="A83" s="37"/>
      <c r="B83" s="38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</row>
    <row r="84" customFormat="false" ht="14.25" hidden="false" customHeight="true" outlineLevel="0" collapsed="false">
      <c r="A84" s="37"/>
      <c r="B84" s="38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</row>
    <row r="85" customFormat="false" ht="14.25" hidden="false" customHeight="true" outlineLevel="0" collapsed="false">
      <c r="A85" s="37"/>
      <c r="B85" s="38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</row>
    <row r="86" customFormat="false" ht="14.25" hidden="false" customHeight="true" outlineLevel="0" collapsed="false">
      <c r="A86" s="37"/>
      <c r="B86" s="38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</row>
    <row r="87" customFormat="false" ht="14.25" hidden="false" customHeight="true" outlineLevel="0" collapsed="false">
      <c r="A87" s="37"/>
      <c r="B87" s="38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</row>
    <row r="88" customFormat="false" ht="14.25" hidden="false" customHeight="true" outlineLevel="0" collapsed="false">
      <c r="A88" s="37"/>
      <c r="B88" s="38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</row>
    <row r="89" customFormat="false" ht="14.25" hidden="false" customHeight="true" outlineLevel="0" collapsed="false">
      <c r="A89" s="37"/>
      <c r="B89" s="38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</row>
    <row r="90" customFormat="false" ht="14.25" hidden="false" customHeight="true" outlineLevel="0" collapsed="false">
      <c r="A90" s="37"/>
      <c r="B90" s="38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 customFormat="false" ht="14.25" hidden="false" customHeight="true" outlineLevel="0" collapsed="false">
      <c r="A91" s="37"/>
      <c r="B91" s="38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 customFormat="false" ht="14.25" hidden="false" customHeight="true" outlineLevel="0" collapsed="false">
      <c r="A92" s="37"/>
      <c r="B92" s="38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 customFormat="false" ht="14.25" hidden="false" customHeight="true" outlineLevel="0" collapsed="false">
      <c r="A93" s="37"/>
      <c r="B93" s="38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</row>
    <row r="94" customFormat="false" ht="14.25" hidden="false" customHeight="true" outlineLevel="0" collapsed="false">
      <c r="A94" s="37"/>
      <c r="B94" s="38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</row>
    <row r="95" customFormat="false" ht="14.25" hidden="false" customHeight="true" outlineLevel="0" collapsed="false">
      <c r="A95" s="37"/>
      <c r="B95" s="38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</row>
    <row r="96" customFormat="false" ht="14.25" hidden="false" customHeight="true" outlineLevel="0" collapsed="false">
      <c r="A96" s="37"/>
      <c r="B96" s="38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</row>
    <row r="97" customFormat="false" ht="14.25" hidden="false" customHeight="true" outlineLevel="0" collapsed="false">
      <c r="A97" s="37"/>
      <c r="B97" s="38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</row>
    <row r="98" customFormat="false" ht="14.25" hidden="false" customHeight="true" outlineLevel="0" collapsed="false">
      <c r="A98" s="37"/>
      <c r="B98" s="38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 customFormat="false" ht="14.25" hidden="false" customHeight="true" outlineLevel="0" collapsed="false">
      <c r="A99" s="37"/>
      <c r="B99" s="38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 customFormat="false" ht="14.25" hidden="false" customHeight="true" outlineLevel="0" collapsed="false">
      <c r="A100" s="37"/>
      <c r="B100" s="38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</sheetData>
  <conditionalFormatting sqref="J40">
    <cfRule type="cellIs" priority="2" operator="equal" aboveAverage="0" equalAverage="0" bottom="0" percent="0" rank="0" text="" dxfId="21">
      <formula>"Delayed"</formula>
    </cfRule>
  </conditionalFormatting>
  <conditionalFormatting sqref="J40">
    <cfRule type="cellIs" priority="3" operator="equal" aboveAverage="0" equalAverage="0" bottom="0" percent="0" rank="0" text="" dxfId="22">
      <formula>"Completed"</formula>
    </cfRule>
  </conditionalFormatting>
  <conditionalFormatting sqref="K40">
    <cfRule type="cellIs" priority="4" operator="equal" aboveAverage="0" equalAverage="0" bottom="0" percent="0" rank="0" text="" dxfId="23">
      <formula>"No"</formula>
    </cfRule>
  </conditionalFormatting>
  <conditionalFormatting sqref="K40">
    <cfRule type="cellIs" priority="5" operator="equal" aboveAverage="0" equalAverage="0" bottom="0" percent="0" rank="0" text="" dxfId="24">
      <formula>"Yes"</formula>
    </cfRule>
  </conditionalFormatting>
  <conditionalFormatting sqref="J37:J39">
    <cfRule type="cellIs" priority="6" operator="equal" aboveAverage="0" equalAverage="0" bottom="0" percent="0" rank="0" text="" dxfId="25">
      <formula>"Delayed"</formula>
    </cfRule>
    <cfRule type="cellIs" priority="7" operator="equal" aboveAverage="0" equalAverage="0" bottom="0" percent="0" rank="0" text="" dxfId="26">
      <formula>"Completed"</formula>
    </cfRule>
  </conditionalFormatting>
  <conditionalFormatting sqref="K37:K39">
    <cfRule type="cellIs" priority="8" operator="equal" aboveAverage="0" equalAverage="0" bottom="0" percent="0" rank="0" text="" dxfId="27">
      <formula>"No"</formula>
    </cfRule>
    <cfRule type="cellIs" priority="9" operator="equal" aboveAverage="0" equalAverage="0" bottom="0" percent="0" rank="0" text="" dxfId="28">
      <formula>"Yes"</formula>
    </cfRule>
  </conditionalFormatting>
  <conditionalFormatting sqref="J35:J36">
    <cfRule type="cellIs" priority="10" operator="equal" aboveAverage="0" equalAverage="0" bottom="0" percent="0" rank="0" text="" dxfId="29">
      <formula>"Delayed"</formula>
    </cfRule>
    <cfRule type="cellIs" priority="11" operator="equal" aboveAverage="0" equalAverage="0" bottom="0" percent="0" rank="0" text="" dxfId="30">
      <formula>"Completed"</formula>
    </cfRule>
  </conditionalFormatting>
  <conditionalFormatting sqref="K35:K36">
    <cfRule type="cellIs" priority="12" operator="equal" aboveAverage="0" equalAverage="0" bottom="0" percent="0" rank="0" text="" dxfId="31">
      <formula>"No"</formula>
    </cfRule>
    <cfRule type="cellIs" priority="13" operator="equal" aboveAverage="0" equalAverage="0" bottom="0" percent="0" rank="0" text="" dxfId="32">
      <formula>"Yes"</formula>
    </cfRule>
  </conditionalFormatting>
  <conditionalFormatting sqref="Q24:Q26 Q28:Q30 Q32:Q34">
    <cfRule type="cellIs" priority="14" operator="equal" aboveAverage="0" equalAverage="0" bottom="0" percent="0" rank="0" text="" dxfId="33">
      <formula>"No"</formula>
    </cfRule>
    <cfRule type="cellIs" priority="15" operator="equal" aboveAverage="0" equalAverage="0" bottom="0" percent="0" rank="0" text="" dxfId="34">
      <formula>"Yes"</formula>
    </cfRule>
  </conditionalFormatting>
  <conditionalFormatting sqref="B29:B33">
    <cfRule type="cellIs" priority="16" operator="equal" aboveAverage="0" equalAverage="0" bottom="0" percent="0" rank="0" text="" dxfId="35">
      <formula>"No"</formula>
    </cfRule>
    <cfRule type="cellIs" priority="17" operator="equal" aboveAverage="0" equalAverage="0" bottom="0" percent="0" rank="0" text="" dxfId="36">
      <formula>"Yes"</formula>
    </cfRule>
  </conditionalFormatting>
  <conditionalFormatting sqref="B24:B25">
    <cfRule type="cellIs" priority="18" operator="equal" aboveAverage="0" equalAverage="0" bottom="0" percent="0" rank="0" text="" dxfId="37">
      <formula>"No"</formula>
    </cfRule>
    <cfRule type="cellIs" priority="19" operator="equal" aboveAverage="0" equalAverage="0" bottom="0" percent="0" rank="0" text="" dxfId="38">
      <formula>"Yes"</formula>
    </cfRule>
  </conditionalFormatting>
  <conditionalFormatting sqref="A24:A34 F24:F34">
    <cfRule type="cellIs" priority="20" operator="equal" aboveAverage="0" equalAverage="0" bottom="0" percent="0" rank="0" text="" dxfId="39">
      <formula>"No"</formula>
    </cfRule>
    <cfRule type="cellIs" priority="21" operator="equal" aboveAverage="0" equalAverage="0" bottom="0" percent="0" rank="0" text="" dxfId="40">
      <formula>"Yes"</formula>
    </cfRule>
  </conditionalFormatting>
  <conditionalFormatting sqref="O11:Q20">
    <cfRule type="cellIs" priority="22" operator="equal" aboveAverage="0" equalAverage="0" bottom="0" percent="0" rank="0" text="" dxfId="41">
      <formula>"No"</formula>
    </cfRule>
    <cfRule type="cellIs" priority="23" operator="equal" aboveAverage="0" equalAverage="0" bottom="0" percent="0" rank="0" text="" dxfId="42">
      <formula>"Yes"</formula>
    </cfRule>
  </conditionalFormatting>
  <conditionalFormatting sqref="F11:F20">
    <cfRule type="cellIs" priority="24" operator="equal" aboveAverage="0" equalAverage="0" bottom="0" percent="0" rank="0" text="" dxfId="43">
      <formula>"No"</formula>
    </cfRule>
    <cfRule type="cellIs" priority="25" operator="equal" aboveAverage="0" equalAverage="0" bottom="0" percent="0" rank="0" text="" dxfId="44">
      <formula>"Yes"</formula>
    </cfRule>
  </conditionalFormatting>
  <conditionalFormatting sqref="J11:J13">
    <cfRule type="cellIs" priority="26" operator="equal" aboveAverage="0" equalAverage="0" bottom="0" percent="0" rank="0" text="" dxfId="45">
      <formula>"Delayed"</formula>
    </cfRule>
    <cfRule type="cellIs" priority="27" operator="equal" aboveAverage="0" equalAverage="0" bottom="0" percent="0" rank="0" text="" dxfId="46">
      <formula>"Completed"</formula>
    </cfRule>
  </conditionalFormatting>
  <conditionalFormatting sqref="K11:K13">
    <cfRule type="cellIs" priority="28" operator="equal" aboveAverage="0" equalAverage="0" bottom="0" percent="0" rank="0" text="" dxfId="47">
      <formula>"No"</formula>
    </cfRule>
    <cfRule type="cellIs" priority="29" operator="equal" aboveAverage="0" equalAverage="0" bottom="0" percent="0" rank="0" text="" dxfId="48">
      <formula>"Yes"</formula>
    </cfRule>
  </conditionalFormatting>
  <conditionalFormatting sqref="J5:J10">
    <cfRule type="cellIs" priority="30" operator="equal" aboveAverage="0" equalAverage="0" bottom="0" percent="0" rank="0" text="" dxfId="49">
      <formula>"Delayed"</formula>
    </cfRule>
    <cfRule type="cellIs" priority="31" operator="equal" aboveAverage="0" equalAverage="0" bottom="0" percent="0" rank="0" text="" dxfId="50">
      <formula>"Completed"</formula>
    </cfRule>
  </conditionalFormatting>
  <conditionalFormatting sqref="K5:K10">
    <cfRule type="cellIs" priority="32" operator="equal" aboveAverage="0" equalAverage="0" bottom="0" percent="0" rank="0" text="" dxfId="51">
      <formula>"No"</formula>
    </cfRule>
    <cfRule type="cellIs" priority="33" operator="equal" aboveAverage="0" equalAverage="0" bottom="0" percent="0" rank="0" text="" dxfId="52">
      <formula>"Yes"</formula>
    </cfRule>
  </conditionalFormatting>
  <conditionalFormatting sqref="J4">
    <cfRule type="cellIs" priority="34" operator="equal" aboveAverage="0" equalAverage="0" bottom="0" percent="0" rank="0" text="" dxfId="53">
      <formula>"Delayed"</formula>
    </cfRule>
  </conditionalFormatting>
  <conditionalFormatting sqref="J4">
    <cfRule type="cellIs" priority="35" operator="equal" aboveAverage="0" equalAverage="0" bottom="0" percent="0" rank="0" text="" dxfId="54">
      <formula>"Completed"</formula>
    </cfRule>
  </conditionalFormatting>
  <conditionalFormatting sqref="K4">
    <cfRule type="cellIs" priority="36" operator="equal" aboveAverage="0" equalAverage="0" bottom="0" percent="0" rank="0" text="" dxfId="55">
      <formula>"No"</formula>
    </cfRule>
  </conditionalFormatting>
  <conditionalFormatting sqref="K4">
    <cfRule type="cellIs" priority="37" operator="equal" aboveAverage="0" equalAverage="0" bottom="0" percent="0" rank="0" text="" dxfId="56">
      <formula>"Yes"</formula>
    </cfRule>
  </conditionalFormatting>
  <conditionalFormatting sqref="J3">
    <cfRule type="cellIs" priority="38" operator="equal" aboveAverage="0" equalAverage="0" bottom="0" percent="0" rank="0" text="" dxfId="57">
      <formula>"Delayed"</formula>
    </cfRule>
  </conditionalFormatting>
  <conditionalFormatting sqref="J3">
    <cfRule type="cellIs" priority="39" operator="equal" aboveAverage="0" equalAverage="0" bottom="0" percent="0" rank="0" text="" dxfId="58">
      <formula>"Completed"</formula>
    </cfRule>
  </conditionalFormatting>
  <conditionalFormatting sqref="K3">
    <cfRule type="cellIs" priority="40" operator="equal" aboveAverage="0" equalAverage="0" bottom="0" percent="0" rank="0" text="" dxfId="59">
      <formula>"No"</formula>
    </cfRule>
  </conditionalFormatting>
  <conditionalFormatting sqref="K3">
    <cfRule type="cellIs" priority="41" operator="equal" aboveAverage="0" equalAverage="0" bottom="0" percent="0" rank="0" text="" dxfId="60">
      <formula>"Yes"</formula>
    </cfRule>
  </conditionalFormatting>
  <dataValidations count="4">
    <dataValidation allowBlank="true" errorStyle="stop" operator="between" prompt="Choose a value from the list" showDropDown="false" showErrorMessage="true" showInputMessage="true" sqref="M3:M13 M35:M40" type="list">
      <formula1>"Yes,No"</formula1>
      <formula2>0</formula2>
    </dataValidation>
    <dataValidation allowBlank="true" errorStyle="stop" operator="between" prompt="Choose a value from the list" showDropDown="false" showErrorMessage="true" showInputMessage="true" sqref="D3:D4 D11:D40" type="list">
      <formula1>"Learning &amp; Development,Human Resources,IT / Tech,Sales,Operations,Compliance,Customer Support,Finance"</formula1>
      <formula2>0</formula2>
    </dataValidation>
    <dataValidation allowBlank="true" errorStyle="stop" operator="between" prompt="Choose a value from the list" showDropDown="false" showErrorMessage="true" showInputMessage="true" sqref="J3:J13 J35:J40" type="list">
      <formula1>"Ongoing,Completed,Delayed,On Hold"</formula1>
      <formula2>0</formula2>
    </dataValidation>
    <dataValidation allowBlank="true" errorStyle="stop" operator="between" prompt="Choose a value from the list" showDropDown="false" showErrorMessage="true" showInputMessage="true" sqref="F3:F4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2026-08-26T11:15:46Z</dcterms:created>
  <dc:creator>openpyxl</dc:creator>
  <dc:description/>
  <dc:language>en-US</dc:language>
  <cp:lastModifiedBy/>
  <dcterms:modified xsi:type="dcterms:W3CDTF">2026-10-15T14:26:22Z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