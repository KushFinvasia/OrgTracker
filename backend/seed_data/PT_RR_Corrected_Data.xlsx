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ployee_Master" sheetId="2" state="visible" r:id="rId4"/>
    <sheet name="Name_Collisions" sheetId="3" state="visible" r:id="rId5"/>
    <sheet name="Departments" sheetId="4" state="visible" r:id="rId6"/>
    <sheet name="Category_Weights" sheetId="5" state="visible" r:id="rId7"/>
    <sheet name="Tracker_Cleaned" sheetId="6" state="visible" r:id="rId8"/>
    <sheet name="Project_Register" sheetId="7" state="visible" r:id="rId9"/>
    <sheet name="OnTime_Recalc" sheetId="8" state="visible" r:id="rId10"/>
    <sheet name="Workflow_Templates" sheetId="9" state="visible" r:id="rId11"/>
    <sheet name="Risk_Register" sheetId="10" state="visible" r:id="rId12"/>
    <sheet name="RCA_Register" sheetId="11" state="visible" r:id="rId13"/>
    <sheet name="Issue_Register" sheetId="12" state="visible" r:id="rId14"/>
  </sheets>
  <definedNames>
    <definedName function="false" hidden="true" localSheetId="1" name="_xlnm._FilterDatabase" vbProcedure="false">Employee_Master!$A$1:$M$326</definedName>
    <definedName function="false" hidden="true" localSheetId="5" name="_xlnm._FilterDatabase" vbProcedure="false">Tracker_Cleaned!$A$1:$Z$176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New: auto-numbered</t>
        </r>
      </text>
    </comment>
    <comment ref="B1" authorId="0">
      <text>
        <r>
          <rPr>
            <sz val="10"/>
            <rFont val="Arial"/>
            <family val="2"/>
          </rPr>
          <t xml:space="preserve">New</t>
        </r>
      </text>
    </comment>
    <comment ref="C1" authorId="0">
      <text>
        <r>
          <rPr>
            <sz val="10"/>
            <rFont val="Arial"/>
            <family val="2"/>
          </rPr>
          <t xml:space="preserve">New</t>
        </r>
      </text>
    </comment>
    <comment ref="D1" authorId="0">
      <text>
        <r>
          <rPr>
            <sz val="10"/>
            <rFont val="Arial"/>
            <family val="2"/>
          </rPr>
          <t xml:space="preserve">New</t>
        </r>
      </text>
    </comment>
    <comment ref="E1" authorId="0">
      <text>
        <r>
          <rPr>
            <sz val="10"/>
            <rFont val="Arial"/>
            <family val="2"/>
          </rPr>
          <t xml:space="preserve">Source: Received date</t>
        </r>
      </text>
    </comment>
    <comment ref="F1" authorId="0">
      <text>
        <r>
          <rPr>
            <sz val="10"/>
            <rFont val="Arial"/>
            <family val="2"/>
          </rPr>
          <t xml:space="preserve">New</t>
        </r>
      </text>
    </comment>
    <comment ref="G1" authorId="0">
      <text>
        <r>
          <rPr>
            <sz val="10"/>
            <rFont val="Arial"/>
            <family val="2"/>
          </rPr>
          <t xml:space="preserve">New: Minor / Medium / Major (same scale as the Compliance KPI)</t>
        </r>
      </text>
    </comment>
    <comment ref="H1" authorId="0">
      <text>
        <r>
          <rPr>
            <sz val="10"/>
            <rFont val="Arial"/>
            <family val="2"/>
          </rPr>
          <t xml:space="preserve">Source: Total client and order impact (split)</t>
        </r>
      </text>
    </comment>
    <comment ref="I1" authorId="0">
      <text>
        <r>
          <rPr>
            <sz val="10"/>
            <rFont val="Arial"/>
            <family val="2"/>
          </rPr>
          <t xml:space="preserve">Source: Total client and order impact (split)</t>
        </r>
      </text>
    </comment>
    <comment ref="J1" authorId="0">
      <text>
        <r>
          <rPr>
            <sz val="10"/>
            <rFont val="Arial"/>
            <family val="2"/>
          </rPr>
          <t xml:space="preserve">Source: Root Cause</t>
        </r>
      </text>
    </comment>
    <comment ref="K1" authorId="0">
      <text>
        <r>
          <rPr>
            <sz val="10"/>
            <rFont val="Arial"/>
            <family val="2"/>
          </rPr>
          <t xml:space="preserve">New: for trend reporting</t>
        </r>
      </text>
    </comment>
    <comment ref="L1" authorId="0">
      <text>
        <r>
          <rPr>
            <sz val="10"/>
            <rFont val="Arial"/>
            <family val="2"/>
          </rPr>
          <t xml:space="preserve">Source: Gap Identified</t>
        </r>
      </text>
    </comment>
    <comment ref="M1" authorId="0">
      <text>
        <r>
          <rPr>
            <sz val="10"/>
            <rFont val="Arial"/>
            <family val="2"/>
          </rPr>
          <t xml:space="preserve">Source: Correction Action taken &amp; Time (split)</t>
        </r>
      </text>
    </comment>
    <comment ref="N1" authorId="0">
      <text>
        <r>
          <rPr>
            <sz val="10"/>
            <rFont val="Arial"/>
            <family val="2"/>
          </rPr>
          <t xml:space="preserve">Source: Correction Action taken &amp; Time (split)</t>
        </r>
      </text>
    </comment>
    <comment ref="O1" authorId="0">
      <text>
        <r>
          <rPr>
            <sz val="10"/>
            <rFont val="Arial"/>
            <family val="2"/>
          </rPr>
          <t xml:space="preserve">Source: Preventive Action</t>
        </r>
      </text>
    </comment>
    <comment ref="P1" authorId="0">
      <text>
        <r>
          <rPr>
            <sz val="10"/>
            <rFont val="Arial"/>
            <family val="2"/>
          </rPr>
          <t xml:space="preserve">New: becomes a task owner in the platform</t>
        </r>
      </text>
    </comment>
    <comment ref="Q1" authorId="0">
      <text>
        <r>
          <rPr>
            <sz val="10"/>
            <rFont val="Arial"/>
            <family val="2"/>
          </rPr>
          <t xml:space="preserve">New</t>
        </r>
      </text>
    </comment>
    <comment ref="R1" authorId="0">
      <text>
        <r>
          <rPr>
            <sz val="10"/>
            <rFont val="Arial"/>
            <family val="2"/>
          </rPr>
          <t xml:space="preserve">Source: Responsible Department and Stakeholder (split)</t>
        </r>
      </text>
    </comment>
    <comment ref="S1" authorId="0">
      <text>
        <r>
          <rPr>
            <sz val="10"/>
            <rFont val="Arial"/>
            <family val="2"/>
          </rPr>
          <t xml:space="preserve">Source: Responsible Department and Stakeholder (split)</t>
        </r>
      </text>
    </comment>
    <comment ref="T1" authorId="0">
      <text>
        <r>
          <rPr>
            <sz val="10"/>
            <rFont val="Arial"/>
            <family val="2"/>
          </rPr>
          <t xml:space="preserve">Source: Expected date of closure</t>
        </r>
      </text>
    </comment>
    <comment ref="U1" authorId="0">
      <text>
        <r>
          <rPr>
            <sz val="10"/>
            <rFont val="Arial"/>
            <family val="2"/>
          </rPr>
          <t xml:space="preserve">Source: Actual date of closure</t>
        </r>
      </text>
    </comment>
    <comment ref="V1" authorId="0">
      <text>
        <r>
          <rPr>
            <sz val="10"/>
            <rFont val="Arial"/>
            <family val="2"/>
          </rPr>
          <t xml:space="preserve">Source: Status (values now defined)</t>
        </r>
      </text>
    </comment>
    <comment ref="W1" authorId="0">
      <text>
        <r>
          <rPr>
            <sz val="10"/>
            <rFont val="Arial"/>
            <family val="2"/>
          </rPr>
          <t xml:space="preserve">New: closer cannot verify their own RCA</t>
        </r>
      </text>
    </comment>
    <comment ref="X1" authorId="0">
      <text>
        <r>
          <rPr>
            <sz val="10"/>
            <rFont val="Arial"/>
            <family val="2"/>
          </rPr>
          <t xml:space="preserve">New: links recurring incidents</t>
        </r>
      </text>
    </comment>
    <comment ref="Y1" authorId="0">
      <text>
        <r>
          <rPr>
            <sz val="10"/>
            <rFont val="Arial"/>
            <family val="2"/>
          </rPr>
          <t xml:space="preserve">New: only "Yes" affects a person's Compliance KPI</t>
        </r>
      </text>
    </comment>
    <comment ref="Z1" authorId="0">
      <text>
        <r>
          <rPr>
            <sz val="10"/>
            <rFont val="Arial"/>
            <family val="2"/>
          </rPr>
          <t xml:space="preserve">New: formula</t>
        </r>
      </text>
    </comment>
    <comment ref="AA1" authorId="0">
      <text>
        <r>
          <rPr>
            <sz val="10"/>
            <rFont val="Arial"/>
            <family val="2"/>
          </rPr>
          <t xml:space="preserve">New: formula</t>
        </r>
      </text>
    </comment>
  </commentList>
</comments>
</file>

<file path=xl/sharedStrings.xml><?xml version="1.0" encoding="utf-8"?>
<sst xmlns="http://schemas.openxmlformats.org/spreadsheetml/2006/main" count="7019" uniqueCount="1992">
  <si>
    <t xml:space="preserve">Finvasia PT-R&amp;R Platform - Corrected Source Data</t>
  </si>
  <si>
    <t xml:space="preserve">Prepared 29-Sep-2026, extended 08-Oct-2026, from: Organizational_Chart (23-Aug-26), Project_Tracker (Rest, Shoonya), R_R_Parameters_2, RACI, RCA</t>
  </si>
  <si>
    <t xml:space="preserve">As-of date used for overdue checks</t>
  </si>
  <si>
    <t xml:space="preserve">Sheet</t>
  </si>
  <si>
    <t xml:space="preserve">What it contains</t>
  </si>
  <si>
    <t xml:space="preserve">Employee_Master</t>
  </si>
  <si>
    <t xml:space="preserve">Every box from the 17 visible org-chart sheets as one row. Proposed record IDs (EMP-/POS-), cleaned name and designation, reporting manager, proposed login role, and data-quality flags. The 2 hidden sheets (Prodduct, Product-Shoonya) are outdated copies and were NOT imported.</t>
  </si>
  <si>
    <t xml:space="preserve">Name_Collisions</t>
  </si>
  <si>
    <t xml:space="preserve">Names shared by more than one record. Each must be confirmed against HRMS before import.</t>
  </si>
  <si>
    <t xml:space="preserve">Departments</t>
  </si>
  <si>
    <t xml:space="preserve">Canonical department list, head, live headcount, proposed performance category, and the tracker aliases that map to it.</t>
  </si>
  <si>
    <t xml:space="preserve">Category_Weights</t>
  </si>
  <si>
    <t xml:space="preserve">Corrected metric weights per team category. Every column must total 100% (check row).</t>
  </si>
  <si>
    <t xml:space="preserve">Tracker_Cleaned</t>
  </si>
  <si>
    <t xml:space="preserve">Original 115 tracker rows split to one row per task x assignee, with resolved Employee IDs, mapped statuses, classified blockers and derived timing (formulas).</t>
  </si>
  <si>
    <t xml:space="preserve">Project_Register</t>
  </si>
  <si>
    <t xml:space="preserve">One row per project with proposed PRJ IDs and live task counts.</t>
  </si>
  <si>
    <t xml:space="preserve">OnTime_Recalc</t>
  </si>
  <si>
    <t xml:space="preserve">On-time rate recalculated with the corrected eligibility rules, beside the value the old sheet produced.</t>
  </si>
  <si>
    <t xml:space="preserve">Issue_Register</t>
  </si>
  <si>
    <t xml:space="preserve">Every issue found in the five source files, with severity and the fix applied.</t>
  </si>
  <si>
    <t xml:space="preserve">Workflow_Templates</t>
  </si>
  <si>
    <t xml:space="preserve">RACI.xlsx turned into a reusable "Email campaign" project template: one row per step with R / A / C / I, checklist, reviewer, required evidence, SLA in business days and effort. Conflicts between the two versions in the source are flagged.</t>
  </si>
  <si>
    <t xml:space="preserve">Risk_Register</t>
  </si>
  <si>
    <t xml:space="preserve">Risks from RACI.xlsx, one per row, linked to the template step, with criticality, dependencies, assumptions, mitigation and new owner / status / review-date fields.</t>
  </si>
  <si>
    <t xml:space="preserve">RCA_Register</t>
  </si>
  <si>
    <t xml:space="preserve">Incident root-cause log built from RCA.xlsx (which had headers only). Fill one row per incident; grey columns are formulas. Header comments show which source column each field came from. Row 2 is an example to replace or delete.</t>
  </si>
  <si>
    <t xml:space="preserve">Colour key</t>
  </si>
  <si>
    <t xml:space="preserve">Yellow cells = input needed from you / HR (e.g. HRMS code, priority). Pink cells = flagged for confirmation. Black text = formulas; do not overwrite.</t>
  </si>
  <si>
    <t xml:space="preserve">ID note</t>
  </si>
  <si>
    <t xml:space="preserve">EMP-/POS-/PRJ- IDs are placeholders so the data can be linked now. Replace EMP IDs with official HRMS employee codes before go-live; the HRMS column is provided for that.</t>
  </si>
  <si>
    <t xml:space="preserve">Record ID</t>
  </si>
  <si>
    <t xml:space="preserve">HRMS Emp Code (fill)</t>
  </si>
  <si>
    <t xml:space="preserve">Record Type</t>
  </si>
  <si>
    <t xml:space="preserve">Full Name</t>
  </si>
  <si>
    <t xml:space="preserve">Designation</t>
  </si>
  <si>
    <t xml:space="preserve">Department</t>
  </si>
  <si>
    <t xml:space="preserve">Level in Chart</t>
  </si>
  <si>
    <t xml:space="preserve">Reporting Manager ID</t>
  </si>
  <si>
    <t xml:space="preserve">Reporting Manager</t>
  </si>
  <si>
    <t xml:space="preserve">Direct Reports</t>
  </si>
  <si>
    <t xml:space="preserve">Proposed Platform Role</t>
  </si>
  <si>
    <t xml:space="preserve">Flags / To Confirm</t>
  </si>
  <si>
    <t xml:space="preserve">Original Chart Text</t>
  </si>
  <si>
    <t xml:space="preserve">POS-0001</t>
  </si>
  <si>
    <t xml:space="preserve">Vacant Position</t>
  </si>
  <si>
    <t xml:space="preserve">(vacant)</t>
  </si>
  <si>
    <t xml:space="preserve">Managing Director</t>
  </si>
  <si>
    <t xml:space="preserve">AI</t>
  </si>
  <si>
    <t xml:space="preserve">None (vacant)</t>
  </si>
  <si>
    <t xml:space="preserve">Vacant / unnamed position</t>
  </si>
  <si>
    <t xml:space="preserve">EMP-0002</t>
  </si>
  <si>
    <t xml:space="preserve">Employee</t>
  </si>
  <si>
    <t xml:space="preserve">Anudesh Saini</t>
  </si>
  <si>
    <t xml:space="preserve">Machine Learning Engineer</t>
  </si>
  <si>
    <t xml:space="preserve">Manager</t>
  </si>
  <si>
    <t xml:space="preserve">Anudesh Saini (Machine Learning Engineer)</t>
  </si>
  <si>
    <t xml:space="preserve">EMP-0003</t>
  </si>
  <si>
    <t xml:space="preserve">Mukund Madhav</t>
  </si>
  <si>
    <t xml:space="preserve">Data Engineer</t>
  </si>
  <si>
    <t xml:space="preserve">Mukund Madhav (Data Engineer)</t>
  </si>
  <si>
    <t xml:space="preserve">EMP-0004</t>
  </si>
  <si>
    <t xml:space="preserve">Piyush Chhabra</t>
  </si>
  <si>
    <t xml:space="preserve">None (employee record)</t>
  </si>
  <si>
    <t xml:space="preserve">Piyush Chhabra (Data Engineer)</t>
  </si>
  <si>
    <t xml:space="preserve">EMP-0005</t>
  </si>
  <si>
    <t xml:space="preserve">Chetan Sharma</t>
  </si>
  <si>
    <t xml:space="preserve">AI Engineer</t>
  </si>
  <si>
    <t xml:space="preserve">Chetan Sharma (AI Engineer)</t>
  </si>
  <si>
    <t xml:space="preserve">EMP-0006</t>
  </si>
  <si>
    <t xml:space="preserve">Divyanshu</t>
  </si>
  <si>
    <t xml:space="preserve">Jr. ML Ops Engineer</t>
  </si>
  <si>
    <t xml:space="preserve">Single name only - add surname</t>
  </si>
  <si>
    <t xml:space="preserve">Divyanshu (Jr. ML Ops Engineer)</t>
  </si>
  <si>
    <t xml:space="preserve">EMP-0007</t>
  </si>
  <si>
    <t xml:space="preserve">Nikhal Kumar Rana</t>
  </si>
  <si>
    <t xml:space="preserve">Associate AI Engineer</t>
  </si>
  <si>
    <t xml:space="preserve">Nikhal Kumar Rana (Associate AI Engineer)</t>
  </si>
  <si>
    <t xml:space="preserve">EMP-0008</t>
  </si>
  <si>
    <t xml:space="preserve">Ankit Sharma</t>
  </si>
  <si>
    <t xml:space="preserve">Data Analyst</t>
  </si>
  <si>
    <t xml:space="preserve">Ankit Sharma (Data Analyst)</t>
  </si>
  <si>
    <t xml:space="preserve">EMP-0009</t>
  </si>
  <si>
    <t xml:space="preserve">Rajat Sharma</t>
  </si>
  <si>
    <t xml:space="preserve">Sr. AI Engineer</t>
  </si>
  <si>
    <t xml:space="preserve">Rajat Sharma (Sr. AI Engineer)</t>
  </si>
  <si>
    <t xml:space="preserve">EMP-0010</t>
  </si>
  <si>
    <t xml:space="preserve">Sameep Rohilla</t>
  </si>
  <si>
    <t xml:space="preserve">Jr. AI Engineer</t>
  </si>
  <si>
    <t xml:space="preserve">Sameep Rohilla (Jr. AI Engineer)</t>
  </si>
  <si>
    <t xml:space="preserve">EMP-0011</t>
  </si>
  <si>
    <t xml:space="preserve">Ishan Singla</t>
  </si>
  <si>
    <t xml:space="preserve">Ishan Singla (Jr. ML Ops Engineer)</t>
  </si>
  <si>
    <t xml:space="preserve">EMP-0012</t>
  </si>
  <si>
    <t xml:space="preserve">Kunal Mehra</t>
  </si>
  <si>
    <t xml:space="preserve">Kunal Mehra (Jr. AI Engineer)</t>
  </si>
  <si>
    <t xml:space="preserve">Product</t>
  </si>
  <si>
    <t xml:space="preserve">EMP-0014</t>
  </si>
  <si>
    <t xml:space="preserve">Vishal Sharma</t>
  </si>
  <si>
    <t xml:space="preserve">Lead QA</t>
  </si>
  <si>
    <t xml:space="preserve">Team Lead</t>
  </si>
  <si>
    <t xml:space="preserve">Vishal Sharma (Lead QA)</t>
  </si>
  <si>
    <t xml:space="preserve">EMP-0015</t>
  </si>
  <si>
    <t xml:space="preserve">Amit Kumar</t>
  </si>
  <si>
    <t xml:space="preserve">Sr. QA Engineer</t>
  </si>
  <si>
    <t xml:space="preserve">Name shared with another record - confirm identity</t>
  </si>
  <si>
    <t xml:space="preserve">Amit Kumar (Sr. QA Engineer)</t>
  </si>
  <si>
    <t xml:space="preserve">EMP-0016</t>
  </si>
  <si>
    <t xml:space="preserve">Pankaj Kumar</t>
  </si>
  <si>
    <t xml:space="preserve">QA Engineer</t>
  </si>
  <si>
    <t xml:space="preserve">Pankaj Kumar (QA Engineer)</t>
  </si>
  <si>
    <t xml:space="preserve">EMP-0017</t>
  </si>
  <si>
    <t xml:space="preserve">Deepti Sharma</t>
  </si>
  <si>
    <t xml:space="preserve">Deepti Sharma (QA Engineer)</t>
  </si>
  <si>
    <t xml:space="preserve">EMP-0018</t>
  </si>
  <si>
    <t xml:space="preserve">Navdeep Thakur</t>
  </si>
  <si>
    <t xml:space="preserve">Navdeep Thakur (QA Engineer)</t>
  </si>
  <si>
    <t xml:space="preserve">EMP-0019</t>
  </si>
  <si>
    <t xml:space="preserve">Vipul Mahajan</t>
  </si>
  <si>
    <t xml:space="preserve">Vipul Mahajan (QA Engineer)</t>
  </si>
  <si>
    <t xml:space="preserve">EMP-0020</t>
  </si>
  <si>
    <t xml:space="preserve">Deepinder Singh</t>
  </si>
  <si>
    <t xml:space="preserve">Sr. Project Manager</t>
  </si>
  <si>
    <t xml:space="preserve">Deepinder Singh (Sr. Project Manager)</t>
  </si>
  <si>
    <t xml:space="preserve">EMP-0021</t>
  </si>
  <si>
    <t xml:space="preserve">Rajan Kumar</t>
  </si>
  <si>
    <t xml:space="preserve">Project Manager</t>
  </si>
  <si>
    <t xml:space="preserve">Rajan Kumar (Project Manager)</t>
  </si>
  <si>
    <t xml:space="preserve">EMP-0022</t>
  </si>
  <si>
    <t xml:space="preserve">Geetankshi</t>
  </si>
  <si>
    <t xml:space="preserve">Associate Project Coordinator</t>
  </si>
  <si>
    <t xml:space="preserve">Geetankshi (Associate Project coordinater)</t>
  </si>
  <si>
    <t xml:space="preserve">EMP-0023</t>
  </si>
  <si>
    <t xml:space="preserve">Sparsh Choudhary</t>
  </si>
  <si>
    <t xml:space="preserve">Sr. Software Engineer</t>
  </si>
  <si>
    <t xml:space="preserve">Sparsh Choudhary (Sr. Software Engineer)</t>
  </si>
  <si>
    <t xml:space="preserve">EMP-0024</t>
  </si>
  <si>
    <t xml:space="preserve">Sumit Roy</t>
  </si>
  <si>
    <t xml:space="preserve">Associate Product Manager</t>
  </si>
  <si>
    <t xml:space="preserve">Sumit Roy (Associate Product Manager)</t>
  </si>
  <si>
    <t xml:space="preserve">EMP-0025</t>
  </si>
  <si>
    <t xml:space="preserve">Manisha Kumari</t>
  </si>
  <si>
    <t xml:space="preserve">Business Analyst</t>
  </si>
  <si>
    <t xml:space="preserve">Manisha Kumari (Business Analyst)</t>
  </si>
  <si>
    <t xml:space="preserve">EMP-0026</t>
  </si>
  <si>
    <t xml:space="preserve">Sukriti</t>
  </si>
  <si>
    <t xml:space="preserve">Sukriti (Business Analyst)</t>
  </si>
  <si>
    <t xml:space="preserve">EMP-0027</t>
  </si>
  <si>
    <t xml:space="preserve">Aryan Raj</t>
  </si>
  <si>
    <t xml:space="preserve">Aryan Raj (Business Analyst)</t>
  </si>
  <si>
    <t xml:space="preserve">EMP-0028</t>
  </si>
  <si>
    <t xml:space="preserve">Siddhant Sharma</t>
  </si>
  <si>
    <t xml:space="preserve">Team Lead-API</t>
  </si>
  <si>
    <t xml:space="preserve">Siddhant Sharma (Team Lead-API)</t>
  </si>
  <si>
    <t xml:space="preserve">EMP-0029</t>
  </si>
  <si>
    <t xml:space="preserve">Saurav Sharma</t>
  </si>
  <si>
    <t xml:space="preserve">API Integration Analyst</t>
  </si>
  <si>
    <t xml:space="preserve">Saurav Sharma (API Integration Analyst)</t>
  </si>
  <si>
    <t xml:space="preserve">EMP-0030</t>
  </si>
  <si>
    <t xml:space="preserve">Avinash Rai</t>
  </si>
  <si>
    <t xml:space="preserve">API Support &amp; Tech. Analyst</t>
  </si>
  <si>
    <t xml:space="preserve">Chart text malformed (fixed)</t>
  </si>
  <si>
    <t xml:space="preserve">Avinash Rai (API Support &amp; Tech. Analyst))</t>
  </si>
  <si>
    <t xml:space="preserve">EMP-0031</t>
  </si>
  <si>
    <t xml:space="preserve">Ashok Sharma</t>
  </si>
  <si>
    <t xml:space="preserve">Ashok Sharma (API Support &amp; Tech. Analyst))</t>
  </si>
  <si>
    <t xml:space="preserve">EMP-0032</t>
  </si>
  <si>
    <t xml:space="preserve">Ravi Beniwal</t>
  </si>
  <si>
    <t xml:space="preserve">Software Engineer</t>
  </si>
  <si>
    <t xml:space="preserve">Ravi Beniwal (Software Engineer)</t>
  </si>
  <si>
    <t xml:space="preserve">EMP-0033</t>
  </si>
  <si>
    <t xml:space="preserve">Rakhi</t>
  </si>
  <si>
    <t xml:space="preserve">Rakhi (Sr. Software Engineer)</t>
  </si>
  <si>
    <t xml:space="preserve">EMP-0034</t>
  </si>
  <si>
    <t xml:space="preserve">Lucky Bawa</t>
  </si>
  <si>
    <t xml:space="preserve">Lucky Bawa (Sr. Software Engineer)</t>
  </si>
  <si>
    <t xml:space="preserve">EMP-0035</t>
  </si>
  <si>
    <t xml:space="preserve">Virendra Nishad</t>
  </si>
  <si>
    <t xml:space="preserve">Virendra Nishad (Software Engineer)</t>
  </si>
  <si>
    <t xml:space="preserve">EMP-0036</t>
  </si>
  <si>
    <t xml:space="preserve">Pawan Kumar</t>
  </si>
  <si>
    <t xml:space="preserve">Pawan Kumar (Sofwtare Engineer)</t>
  </si>
  <si>
    <t xml:space="preserve">EMP-0037</t>
  </si>
  <si>
    <t xml:space="preserve">Ankush</t>
  </si>
  <si>
    <t xml:space="preserve">Ankush (Sr. Software Engineer)</t>
  </si>
  <si>
    <t xml:space="preserve">EMP-0038</t>
  </si>
  <si>
    <t xml:space="preserve">Muskan</t>
  </si>
  <si>
    <t xml:space="preserve">Name shared with another record - confirm identity; Single name only - add surname</t>
  </si>
  <si>
    <t xml:space="preserve">Muskan (Sofwate Engineer)</t>
  </si>
  <si>
    <t xml:space="preserve">EMP-0039</t>
  </si>
  <si>
    <t xml:space="preserve">Avinash</t>
  </si>
  <si>
    <t xml:space="preserve">Avinash (Software Engineer)</t>
  </si>
  <si>
    <t xml:space="preserve">EMP-0040</t>
  </si>
  <si>
    <t xml:space="preserve">Kartik Sharma</t>
  </si>
  <si>
    <t xml:space="preserve">Kartik Sharma (Software Engineer)</t>
  </si>
  <si>
    <t xml:space="preserve">EMP-0041</t>
  </si>
  <si>
    <t xml:space="preserve">Ankit</t>
  </si>
  <si>
    <t xml:space="preserve">Ankit (Software Engineer)</t>
  </si>
  <si>
    <t xml:space="preserve">EMP-0042</t>
  </si>
  <si>
    <t xml:space="preserve">Shivam</t>
  </si>
  <si>
    <t xml:space="preserve">Shivam (Software Engineer)</t>
  </si>
  <si>
    <t xml:space="preserve">EMP-0043</t>
  </si>
  <si>
    <t xml:space="preserve">Paramjit Singh</t>
  </si>
  <si>
    <t xml:space="preserve">Word Press Developer</t>
  </si>
  <si>
    <t xml:space="preserve">Paramjit Singh(Word Press Developer)</t>
  </si>
  <si>
    <t xml:space="preserve">EMP-0044</t>
  </si>
  <si>
    <t xml:space="preserve">Mayank Kumar</t>
  </si>
  <si>
    <t xml:space="preserve">Mayank Kumar (Software Engineer)</t>
  </si>
  <si>
    <t xml:space="preserve">EMP-0045</t>
  </si>
  <si>
    <t xml:space="preserve">Randhir Kumar</t>
  </si>
  <si>
    <t xml:space="preserve">Randhir Kumar (Sr. Project Manager)</t>
  </si>
  <si>
    <t xml:space="preserve">EMP-0046</t>
  </si>
  <si>
    <t xml:space="preserve">Jatin Vashisht</t>
  </si>
  <si>
    <t xml:space="preserve">iOS Manager</t>
  </si>
  <si>
    <t xml:space="preserve">Jatin Vashisht (iOS Manager:</t>
  </si>
  <si>
    <t xml:space="preserve">EMP-0047</t>
  </si>
  <si>
    <t xml:space="preserve">Akshay A Walia</t>
  </si>
  <si>
    <t xml:space="preserve">Akshay A Walia (Sr. Software Engineer)</t>
  </si>
  <si>
    <t xml:space="preserve">EMP-0048</t>
  </si>
  <si>
    <t xml:space="preserve">Saksham</t>
  </si>
  <si>
    <t xml:space="preserve">Saksham (Software Engineer)</t>
  </si>
  <si>
    <t xml:space="preserve">EMP-0049</t>
  </si>
  <si>
    <t xml:space="preserve">Vinay Dhayani</t>
  </si>
  <si>
    <t xml:space="preserve">Vinay Dhayani (Software Engineer)</t>
  </si>
  <si>
    <t xml:space="preserve">EMP-0050</t>
  </si>
  <si>
    <t xml:space="preserve">Akash Bansal</t>
  </si>
  <si>
    <t xml:space="preserve">Akash Bansal Software Engineer)</t>
  </si>
  <si>
    <t xml:space="preserve">EMP-0051</t>
  </si>
  <si>
    <t xml:space="preserve">Payal Dhiman</t>
  </si>
  <si>
    <t xml:space="preserve">Payal Dhiman (Software Engineer)</t>
  </si>
  <si>
    <t xml:space="preserve">EMP-0052</t>
  </si>
  <si>
    <t xml:space="preserve">Tushar Verma</t>
  </si>
  <si>
    <t xml:space="preserve">Tushar Verma Software Engineer)</t>
  </si>
  <si>
    <t xml:space="preserve">EMP-0053</t>
  </si>
  <si>
    <t xml:space="preserve">Rupinder Kaur</t>
  </si>
  <si>
    <t xml:space="preserve">Android Manager</t>
  </si>
  <si>
    <t xml:space="preserve">Rupinder Kaur (Android Manager)</t>
  </si>
  <si>
    <t xml:space="preserve">EMP-0054</t>
  </si>
  <si>
    <t xml:space="preserve">Keshav Bansal</t>
  </si>
  <si>
    <t xml:space="preserve">Sr Software Engineer</t>
  </si>
  <si>
    <t xml:space="preserve">Keshav Bansal (Sr Software Engineer)</t>
  </si>
  <si>
    <t xml:space="preserve">EMP-0055</t>
  </si>
  <si>
    <t xml:space="preserve">Ankit Singh</t>
  </si>
  <si>
    <t xml:space="preserve">Ankit SIngh ( Software Engineer)</t>
  </si>
  <si>
    <t xml:space="preserve">EMP-0056</t>
  </si>
  <si>
    <t xml:space="preserve">Manthan Mahajan</t>
  </si>
  <si>
    <t xml:space="preserve">Manthan Mahajan (Software Engineer)</t>
  </si>
  <si>
    <t xml:space="preserve">EMP-0057</t>
  </si>
  <si>
    <t xml:space="preserve">Sumit Kumar</t>
  </si>
  <si>
    <t xml:space="preserve">Sumit Kumar (Sr. Software Engineer)</t>
  </si>
  <si>
    <t xml:space="preserve">EMP-0058</t>
  </si>
  <si>
    <t xml:space="preserve">Jaspreet Singh</t>
  </si>
  <si>
    <t xml:space="preserve">Jaspreet Singh (Software Engineer)</t>
  </si>
  <si>
    <t xml:space="preserve">EMP-0059</t>
  </si>
  <si>
    <t xml:space="preserve">Arun Chauhan</t>
  </si>
  <si>
    <t xml:space="preserve">Android Developer</t>
  </si>
  <si>
    <t xml:space="preserve">Arun Chauhan (Android Developer)</t>
  </si>
  <si>
    <t xml:space="preserve">EMP-0060</t>
  </si>
  <si>
    <t xml:space="preserve">Kapil Kumar</t>
  </si>
  <si>
    <t xml:space="preserve">Sr. BA</t>
  </si>
  <si>
    <t xml:space="preserve">Kapil Kumar (Sr. BA)</t>
  </si>
  <si>
    <t xml:space="preserve">EMP-0061</t>
  </si>
  <si>
    <t xml:space="preserve">Deepali Mittal</t>
  </si>
  <si>
    <t xml:space="preserve">BA</t>
  </si>
  <si>
    <t xml:space="preserve">Deepali Mittal (BA)</t>
  </si>
  <si>
    <t xml:space="preserve">EMP-0062</t>
  </si>
  <si>
    <t xml:space="preserve">Hani Tomar</t>
  </si>
  <si>
    <t xml:space="preserve">Hani Tomar (BA)</t>
  </si>
  <si>
    <t xml:space="preserve">EMP-0063</t>
  </si>
  <si>
    <t xml:space="preserve">Surabhi Abrol</t>
  </si>
  <si>
    <t xml:space="preserve">Surabhi Abrol (BA)</t>
  </si>
  <si>
    <t xml:space="preserve">EMP-0064</t>
  </si>
  <si>
    <t xml:space="preserve">Ansh Arora</t>
  </si>
  <si>
    <t xml:space="preserve">Associate BA</t>
  </si>
  <si>
    <t xml:space="preserve">Ansh Arora (Associate BA)</t>
  </si>
  <si>
    <t xml:space="preserve">EMP-0065</t>
  </si>
  <si>
    <t xml:space="preserve">Aakash Thakur</t>
  </si>
  <si>
    <t xml:space="preserve">Aakash Thakur (BA)</t>
  </si>
  <si>
    <t xml:space="preserve">EMP-0066</t>
  </si>
  <si>
    <t xml:space="preserve">Rafay Saifi</t>
  </si>
  <si>
    <t xml:space="preserve">Rafay Saifi (BA)</t>
  </si>
  <si>
    <t xml:space="preserve">EMP-0067</t>
  </si>
  <si>
    <t xml:space="preserve">Sonia</t>
  </si>
  <si>
    <t xml:space="preserve">Sonia (BA)</t>
  </si>
  <si>
    <t xml:space="preserve">EMP-0068</t>
  </si>
  <si>
    <t xml:space="preserve">Prashant Nabaghan</t>
  </si>
  <si>
    <t xml:space="preserve">Sr. PM</t>
  </si>
  <si>
    <t xml:space="preserve">Prashant Nabaghan (Sr. PM)</t>
  </si>
  <si>
    <t xml:space="preserve">EMP-0069</t>
  </si>
  <si>
    <t xml:space="preserve">Aashish Rohhidas</t>
  </si>
  <si>
    <t xml:space="preserve">Aashish Rohhidas (BA)</t>
  </si>
  <si>
    <t xml:space="preserve">EMP-0070</t>
  </si>
  <si>
    <t xml:space="preserve">Parvinder Singh Chopra</t>
  </si>
  <si>
    <t xml:space="preserve">Solution Architect</t>
  </si>
  <si>
    <t xml:space="preserve">Parvinder Singh Chopra (Solution Architech)</t>
  </si>
  <si>
    <t xml:space="preserve">EMP-0071</t>
  </si>
  <si>
    <t xml:space="preserve">Gurpreet Singh</t>
  </si>
  <si>
    <t xml:space="preserve">Project Lead</t>
  </si>
  <si>
    <t xml:space="preserve">Gurpreet Singh (Project Lead)</t>
  </si>
  <si>
    <t xml:space="preserve">EMP-0072</t>
  </si>
  <si>
    <t xml:space="preserve">Chhatarshal Singh</t>
  </si>
  <si>
    <t xml:space="preserve">Team Lead Developer</t>
  </si>
  <si>
    <t xml:space="preserve">Chhatarshal Singh (Team Lead Developer)</t>
  </si>
  <si>
    <t xml:space="preserve">EMP-0073</t>
  </si>
  <si>
    <t xml:space="preserve">Kamal Kumar</t>
  </si>
  <si>
    <t xml:space="preserve">Kamal Kumar (Software Engineer)</t>
  </si>
  <si>
    <t xml:space="preserve">EMP-0074</t>
  </si>
  <si>
    <t xml:space="preserve">Preeti Thakur</t>
  </si>
  <si>
    <t xml:space="preserve">Preeti Thakur (Software Engineer)</t>
  </si>
  <si>
    <t xml:space="preserve">EMP-0075</t>
  </si>
  <si>
    <t xml:space="preserve">Rohit Chauhan</t>
  </si>
  <si>
    <t xml:space="preserve">Rohit Chauhan (Software Engineer)</t>
  </si>
  <si>
    <t xml:space="preserve">EMP-0076</t>
  </si>
  <si>
    <t xml:space="preserve">Savita</t>
  </si>
  <si>
    <t xml:space="preserve">Savita (Software Engineer)</t>
  </si>
  <si>
    <t xml:space="preserve">EMP-0077</t>
  </si>
  <si>
    <t xml:space="preserve">Puneet Sharma</t>
  </si>
  <si>
    <t xml:space="preserve">Puneet Sharma (Software Engineer)</t>
  </si>
  <si>
    <t xml:space="preserve">EMP-0078</t>
  </si>
  <si>
    <t xml:space="preserve">Rupanshi Bhandari</t>
  </si>
  <si>
    <t xml:space="preserve">Rupanshi Bhandari ((Software Engineer)</t>
  </si>
  <si>
    <t xml:space="preserve">EMP-0079</t>
  </si>
  <si>
    <t xml:space="preserve">Mukesh Kumar</t>
  </si>
  <si>
    <t xml:space="preserve">Dev Ops Engineer</t>
  </si>
  <si>
    <t xml:space="preserve">Mukesh Kumar (Dev Ops Engineer)</t>
  </si>
  <si>
    <t xml:space="preserve">EMP-0080</t>
  </si>
  <si>
    <t xml:space="preserve">Jyoti</t>
  </si>
  <si>
    <t xml:space="preserve">Sr. Devops</t>
  </si>
  <si>
    <t xml:space="preserve">Jyoti (Sr. Devops)</t>
  </si>
  <si>
    <t xml:space="preserve">EMP-0081</t>
  </si>
  <si>
    <t xml:space="preserve">Pradeep Thakur</t>
  </si>
  <si>
    <t xml:space="preserve">Lead UI/UX Designer</t>
  </si>
  <si>
    <t xml:space="preserve">Pradeep Thakur (Lead UI/UX Designer)</t>
  </si>
  <si>
    <t xml:space="preserve">EMP-0082</t>
  </si>
  <si>
    <t xml:space="preserve">Sachin Barnwal</t>
  </si>
  <si>
    <t xml:space="preserve">UI/UX Designer</t>
  </si>
  <si>
    <t xml:space="preserve">Sachin Barnwal (UI/UX Designer)</t>
  </si>
  <si>
    <t xml:space="preserve">EMP-0083</t>
  </si>
  <si>
    <t xml:space="preserve">Maninder Singh</t>
  </si>
  <si>
    <t xml:space="preserve">Sr. UI/UX Designer</t>
  </si>
  <si>
    <t xml:space="preserve">Maninder Singh (Sr. UI/UX Designer)</t>
  </si>
  <si>
    <t xml:space="preserve">EMP-0084</t>
  </si>
  <si>
    <t xml:space="preserve">Harsh</t>
  </si>
  <si>
    <t xml:space="preserve">Harsh (UI/UX Designer)</t>
  </si>
  <si>
    <t xml:space="preserve">EMP-0085</t>
  </si>
  <si>
    <t xml:space="preserve">Balneet Birah</t>
  </si>
  <si>
    <t xml:space="preserve">VP-HR</t>
  </si>
  <si>
    <t xml:space="preserve">HR</t>
  </si>
  <si>
    <t xml:space="preserve">HOD</t>
  </si>
  <si>
    <t xml:space="preserve">Balneet Birah (VP-HR)</t>
  </si>
  <si>
    <t xml:space="preserve">EMP-0086</t>
  </si>
  <si>
    <t xml:space="preserve">Rakesh Guleria</t>
  </si>
  <si>
    <t xml:space="preserve">AVP-HR</t>
  </si>
  <si>
    <t xml:space="preserve">Rakesh Guleria (AVP-HR)</t>
  </si>
  <si>
    <t xml:space="preserve">EMP-0087</t>
  </si>
  <si>
    <t xml:space="preserve">Hidayat Khan</t>
  </si>
  <si>
    <t xml:space="preserve">AM - HR OPS</t>
  </si>
  <si>
    <t xml:space="preserve">Hidayat Khan (AM - HR OPS)</t>
  </si>
  <si>
    <t xml:space="preserve">POS-0088</t>
  </si>
  <si>
    <t xml:space="preserve">Vacant position (empty box in chart)</t>
  </si>
  <si>
    <t xml:space="preserve">EMP-0089</t>
  </si>
  <si>
    <t xml:space="preserve">Parul</t>
  </si>
  <si>
    <t xml:space="preserve">CSR Manager</t>
  </si>
  <si>
    <t xml:space="preserve">Parul (CSR Manager)</t>
  </si>
  <si>
    <t xml:space="preserve">EMP-0090</t>
  </si>
  <si>
    <t xml:space="preserve">Robin Sharma</t>
  </si>
  <si>
    <t xml:space="preserve">TL OPS</t>
  </si>
  <si>
    <t xml:space="preserve">Robin Sharma (TL OPS)</t>
  </si>
  <si>
    <t xml:space="preserve">EMP-0091</t>
  </si>
  <si>
    <t xml:space="preserve">Amrit Kaur</t>
  </si>
  <si>
    <t xml:space="preserve">Amrit Kaur (Team Lead)</t>
  </si>
  <si>
    <t xml:space="preserve">EMP-0092</t>
  </si>
  <si>
    <t xml:space="preserve">Prabhleen Kaur</t>
  </si>
  <si>
    <t xml:space="preserve">Sr. TA</t>
  </si>
  <si>
    <t xml:space="preserve">Prabhleen Kaur (Sr. TA)</t>
  </si>
  <si>
    <t xml:space="preserve">EMP-0093</t>
  </si>
  <si>
    <t xml:space="preserve">Himani Sharma</t>
  </si>
  <si>
    <t xml:space="preserve">AM-TA</t>
  </si>
  <si>
    <t xml:space="preserve">Himani Sharma (AM-TA)</t>
  </si>
  <si>
    <t xml:space="preserve">EMP-0094</t>
  </si>
  <si>
    <t xml:space="preserve">Jitender Thakur</t>
  </si>
  <si>
    <t xml:space="preserve">TA</t>
  </si>
  <si>
    <t xml:space="preserve">Jitender Thakur (TA)</t>
  </si>
  <si>
    <t xml:space="preserve">EMP-0095</t>
  </si>
  <si>
    <t xml:space="preserve">Nidhi Zulka</t>
  </si>
  <si>
    <t xml:space="preserve">HR Manager:MB</t>
  </si>
  <si>
    <t xml:space="preserve">Nidhi Zulka (HR Manager:MB)</t>
  </si>
  <si>
    <t xml:space="preserve">EMP-0096</t>
  </si>
  <si>
    <t xml:space="preserve">Deepjot Tiwari</t>
  </si>
  <si>
    <t xml:space="preserve">Manager L&amp;D</t>
  </si>
  <si>
    <t xml:space="preserve">Deepjot Tiwari ( Manager L&amp;D)</t>
  </si>
  <si>
    <t xml:space="preserve">EMP-0097</t>
  </si>
  <si>
    <t xml:space="preserve">Aman Thapa</t>
  </si>
  <si>
    <t xml:space="preserve">Executive L&amp;D</t>
  </si>
  <si>
    <t xml:space="preserve">Aman Thapa ( Executive L&amp;D)</t>
  </si>
  <si>
    <t xml:space="preserve">EMP-0098</t>
  </si>
  <si>
    <t xml:space="preserve">Aunj Ohri</t>
  </si>
  <si>
    <t xml:space="preserve">VP Accounts</t>
  </si>
  <si>
    <t xml:space="preserve">Accounts</t>
  </si>
  <si>
    <t xml:space="preserve">Aunj Ohri (VP Accounts)</t>
  </si>
  <si>
    <t xml:space="preserve">EMP-0099</t>
  </si>
  <si>
    <t xml:space="preserve">Pushpinder Singh</t>
  </si>
  <si>
    <t xml:space="preserve">AVP - Accounts</t>
  </si>
  <si>
    <t xml:space="preserve">Pushpinder Singh (AVP - Accounts)</t>
  </si>
  <si>
    <t xml:space="preserve">EMP-0100</t>
  </si>
  <si>
    <t xml:space="preserve">Ravi Kumar</t>
  </si>
  <si>
    <t xml:space="preserve">AM- Accounts</t>
  </si>
  <si>
    <t xml:space="preserve">Ravi Kumar (AM- Accounts)</t>
  </si>
  <si>
    <t xml:space="preserve">EMP-0101</t>
  </si>
  <si>
    <t xml:space="preserve">Sarthak Sharma</t>
  </si>
  <si>
    <t xml:space="preserve">Accounts Executive</t>
  </si>
  <si>
    <t xml:space="preserve">Sarthak Sharma (Accounts Executive)</t>
  </si>
  <si>
    <t xml:space="preserve">EMP-0102</t>
  </si>
  <si>
    <t xml:space="preserve">Aditya Jindal</t>
  </si>
  <si>
    <t xml:space="preserve">Aditya Jindal (Accounts Executive)</t>
  </si>
  <si>
    <t xml:space="preserve">EMP-0103</t>
  </si>
  <si>
    <t xml:space="preserve">Rohit Kumar</t>
  </si>
  <si>
    <t xml:space="preserve">Sr. Accounts Executive</t>
  </si>
  <si>
    <t xml:space="preserve">Rohit Kumar (Sr. Accounts Executive)</t>
  </si>
  <si>
    <t xml:space="preserve">EMP-0104</t>
  </si>
  <si>
    <t xml:space="preserve">Ravesh Sharma</t>
  </si>
  <si>
    <t xml:space="preserve">AM - Accounts</t>
  </si>
  <si>
    <t xml:space="preserve">Ravesh Sharma (AM - Accounts)</t>
  </si>
  <si>
    <t xml:space="preserve">EMP-0105</t>
  </si>
  <si>
    <t xml:space="preserve">Bharat Maan</t>
  </si>
  <si>
    <t xml:space="preserve">Bharat Maan (Sr. Accounts Executive)</t>
  </si>
  <si>
    <t xml:space="preserve">EMP-0106</t>
  </si>
  <si>
    <t xml:space="preserve">Yadwinder Singh</t>
  </si>
  <si>
    <t xml:space="preserve">Sr. Manager</t>
  </si>
  <si>
    <t xml:space="preserve">Yadwinder Singh (Sr. Manager)</t>
  </si>
  <si>
    <t xml:space="preserve">EMP-0107</t>
  </si>
  <si>
    <t xml:space="preserve">Vinod Kumar</t>
  </si>
  <si>
    <t xml:space="preserve">Vinod Kumar (Manager)</t>
  </si>
  <si>
    <t xml:space="preserve">EMP-0108</t>
  </si>
  <si>
    <t xml:space="preserve">Deepak Khanna</t>
  </si>
  <si>
    <t xml:space="preserve">Accounts Manager</t>
  </si>
  <si>
    <t xml:space="preserve">Deepak Khanna (Accounts Manager)</t>
  </si>
  <si>
    <t xml:space="preserve">EMP-0109</t>
  </si>
  <si>
    <t xml:space="preserve">AVP-Operations</t>
  </si>
  <si>
    <t xml:space="preserve">Demat</t>
  </si>
  <si>
    <t xml:space="preserve">Name shared with another record - confirm identity; Heads multiple departments</t>
  </si>
  <si>
    <t xml:space="preserve">Pawan Kumar (AVP-Operations)</t>
  </si>
  <si>
    <t xml:space="preserve">EMP-0110</t>
  </si>
  <si>
    <t xml:space="preserve">Yogesh</t>
  </si>
  <si>
    <t xml:space="preserve">DP Manager</t>
  </si>
  <si>
    <t xml:space="preserve">Yogesh (DP Manager)</t>
  </si>
  <si>
    <t xml:space="preserve">EMP-0111</t>
  </si>
  <si>
    <t xml:space="preserve">Swati Vashist</t>
  </si>
  <si>
    <t xml:space="preserve">DP Executive</t>
  </si>
  <si>
    <t xml:space="preserve">Swati Vashist (DP Executive)</t>
  </si>
  <si>
    <t xml:space="preserve">EMP-0112</t>
  </si>
  <si>
    <t xml:space="preserve">Atul Kumar</t>
  </si>
  <si>
    <t xml:space="preserve">Sr. Team Lead</t>
  </si>
  <si>
    <t xml:space="preserve">Atul Kumar (Sr. Team Lead)</t>
  </si>
  <si>
    <t xml:space="preserve">EMP-0113</t>
  </si>
  <si>
    <t xml:space="preserve">Rahul Bharti</t>
  </si>
  <si>
    <t xml:space="preserve">Rahul Bharti (DP Exceutive)</t>
  </si>
  <si>
    <t xml:space="preserve">EMP-0114</t>
  </si>
  <si>
    <t xml:space="preserve">Prince Masih</t>
  </si>
  <si>
    <t xml:space="preserve">Sr. Executive</t>
  </si>
  <si>
    <t xml:space="preserve">Prince Masih (Sr. Executive)</t>
  </si>
  <si>
    <t xml:space="preserve">EMP-0115</t>
  </si>
  <si>
    <t xml:space="preserve">Dinesh Kumar</t>
  </si>
  <si>
    <t xml:space="preserve">Dinesh Kumar (DP Executive)</t>
  </si>
  <si>
    <t xml:space="preserve">EMP-0116</t>
  </si>
  <si>
    <t xml:space="preserve">Rohit Dhiman</t>
  </si>
  <si>
    <t xml:space="preserve">Rohit Dhiman (DP Executive)</t>
  </si>
  <si>
    <t xml:space="preserve">EMP-0117</t>
  </si>
  <si>
    <t xml:space="preserve">Ramneek</t>
  </si>
  <si>
    <t xml:space="preserve">Head - Digital Marketing (designation not in chart)</t>
  </si>
  <si>
    <t xml:space="preserve">Digital Marketing</t>
  </si>
  <si>
    <t xml:space="preserve">Single name only - add surname; Designation missing</t>
  </si>
  <si>
    <t xml:space="preserve">Ramneek Mam</t>
  </si>
  <si>
    <t xml:space="preserve">EMP-0118</t>
  </si>
  <si>
    <t xml:space="preserve">Naveen Kumar</t>
  </si>
  <si>
    <t xml:space="preserve">Assistant Manager</t>
  </si>
  <si>
    <t xml:space="preserve">Naveen Kumar (Assistant Manager)</t>
  </si>
  <si>
    <t xml:space="preserve">EMP-0119</t>
  </si>
  <si>
    <t xml:space="preserve">Pallavi Chauhan</t>
  </si>
  <si>
    <t xml:space="preserve">Sr. SEO Executive</t>
  </si>
  <si>
    <t xml:space="preserve">Pallavi Chauhan (Sr. SEO Executive)</t>
  </si>
  <si>
    <t xml:space="preserve">EMP-0120</t>
  </si>
  <si>
    <t xml:space="preserve">SEO Executive</t>
  </si>
  <si>
    <t xml:space="preserve">Maninder Singh (SEO Executive)</t>
  </si>
  <si>
    <t xml:space="preserve">EMP-0121</t>
  </si>
  <si>
    <t xml:space="preserve">Mandeep Singh</t>
  </si>
  <si>
    <t xml:space="preserve">Mandeep Singh (SEO Executive)</t>
  </si>
  <si>
    <t xml:space="preserve">EMP-0122</t>
  </si>
  <si>
    <t xml:space="preserve">Kunal Puri</t>
  </si>
  <si>
    <t xml:space="preserve">Kunal Puri (SEO Executive)</t>
  </si>
  <si>
    <t xml:space="preserve">EMP-0123</t>
  </si>
  <si>
    <t xml:space="preserve">Atul Rana</t>
  </si>
  <si>
    <t xml:space="preserve">Atul Rana (SEO Executive)</t>
  </si>
  <si>
    <t xml:space="preserve">EMP-0124</t>
  </si>
  <si>
    <t xml:space="preserve">Rohan Rawat</t>
  </si>
  <si>
    <t xml:space="preserve">Sr. DM Executive</t>
  </si>
  <si>
    <t xml:space="preserve">Rohan Rawat (Sr. DM Executive)</t>
  </si>
  <si>
    <t xml:space="preserve">EMP-0125</t>
  </si>
  <si>
    <t xml:space="preserve">Basant Dhawan</t>
  </si>
  <si>
    <t xml:space="preserve">Sr. VP-Brand Management and Marketing</t>
  </si>
  <si>
    <t xml:space="preserve">Basant Dhawan (Sr. VP -Brand Management and Marketing)</t>
  </si>
  <si>
    <t xml:space="preserve">EMP-0126</t>
  </si>
  <si>
    <t xml:space="preserve">Deesha Seth</t>
  </si>
  <si>
    <t xml:space="preserve">AVP: Content Strategist</t>
  </si>
  <si>
    <t xml:space="preserve">Deesha Seth (AVP: Content Strategist)</t>
  </si>
  <si>
    <t xml:space="preserve">EMP-0127</t>
  </si>
  <si>
    <t xml:space="preserve">Neel Hemang Shah</t>
  </si>
  <si>
    <t xml:space="preserve">Copy Writer</t>
  </si>
  <si>
    <t xml:space="preserve">Neel Hemang Shah (Copy Writer)</t>
  </si>
  <si>
    <t xml:space="preserve">EMP-0128</t>
  </si>
  <si>
    <t xml:space="preserve">Sampras D'souza</t>
  </si>
  <si>
    <t xml:space="preserve">Sr. Copy Writer</t>
  </si>
  <si>
    <t xml:space="preserve">Sampras D'souza (Sr. Copy Writer)</t>
  </si>
  <si>
    <t xml:space="preserve">EMP-0129</t>
  </si>
  <si>
    <t xml:space="preserve">Parag Sonone</t>
  </si>
  <si>
    <t xml:space="preserve">Sr. Copywriter</t>
  </si>
  <si>
    <t xml:space="preserve">Parag Sonone (Sr. Copywriter)</t>
  </si>
  <si>
    <t xml:space="preserve">EMP-0130</t>
  </si>
  <si>
    <t xml:space="preserve">Ananya Walia</t>
  </si>
  <si>
    <t xml:space="preserve">Content Writer</t>
  </si>
  <si>
    <t xml:space="preserve">Ananya Walia (Content Writer)</t>
  </si>
  <si>
    <t xml:space="preserve">EMP-0131</t>
  </si>
  <si>
    <t xml:space="preserve">Gurnoor Saini</t>
  </si>
  <si>
    <t xml:space="preserve">Sr. Content Writer</t>
  </si>
  <si>
    <t xml:space="preserve">Gurnoor Saini (Sr. Content Writer)</t>
  </si>
  <si>
    <t xml:space="preserve">EMP-0132</t>
  </si>
  <si>
    <t xml:space="preserve">Smeet Paresh Shah</t>
  </si>
  <si>
    <t xml:space="preserve">Sr. Manager-Graphics</t>
  </si>
  <si>
    <t xml:space="preserve">Smeet Paresh Shah (Sr. Manager-Graphics)</t>
  </si>
  <si>
    <t xml:space="preserve">EMP-0133</t>
  </si>
  <si>
    <t xml:space="preserve">Atul Narendra Sharma</t>
  </si>
  <si>
    <t xml:space="preserve">Graphic and Video Editor</t>
  </si>
  <si>
    <t xml:space="preserve">Atul Narendra Sharma (Graphic and Video Editor)</t>
  </si>
  <si>
    <t xml:space="preserve">EMP-0134</t>
  </si>
  <si>
    <t xml:space="preserve">Vishal Kumar</t>
  </si>
  <si>
    <t xml:space="preserve">Lead Video Production</t>
  </si>
  <si>
    <t xml:space="preserve">Vishal Kumar (Lead Video Production)</t>
  </si>
  <si>
    <t xml:space="preserve">EMP-0135</t>
  </si>
  <si>
    <t xml:space="preserve">Harsh Bhatia</t>
  </si>
  <si>
    <t xml:space="preserve">Graphic Designer</t>
  </si>
  <si>
    <t xml:space="preserve">Harsh Bhatia (Graphic Designer)</t>
  </si>
  <si>
    <t xml:space="preserve">EMP-0136</t>
  </si>
  <si>
    <t xml:space="preserve">Atish Kumar</t>
  </si>
  <si>
    <t xml:space="preserve">Atish Kumar (Sr. UI/UX Designer)</t>
  </si>
  <si>
    <t xml:space="preserve">EMP-0137</t>
  </si>
  <si>
    <t xml:space="preserve">Ishaque Gulam</t>
  </si>
  <si>
    <t xml:space="preserve">AVP: ORM</t>
  </si>
  <si>
    <t xml:space="preserve">Ishaque Gulam (AVP: ORM)</t>
  </si>
  <si>
    <t xml:space="preserve">EMP-0138</t>
  </si>
  <si>
    <t xml:space="preserve">Rohit Rajendra Bhosale</t>
  </si>
  <si>
    <t xml:space="preserve">Campaign Manager</t>
  </si>
  <si>
    <t xml:space="preserve">Rohit Rajendra Bhosale (Campaign Manager)</t>
  </si>
  <si>
    <t xml:space="preserve">EMP-0139</t>
  </si>
  <si>
    <t xml:space="preserve">Kusum Khimraj Kumavat</t>
  </si>
  <si>
    <t xml:space="preserve">Marketing Associate</t>
  </si>
  <si>
    <t xml:space="preserve">Kusum Khimraj Kumavat (Marketing Associate)</t>
  </si>
  <si>
    <t xml:space="preserve">EMP-0140</t>
  </si>
  <si>
    <t xml:space="preserve">Manisha Saxena</t>
  </si>
  <si>
    <t xml:space="preserve">Manisha Saxena (Team Lead)</t>
  </si>
  <si>
    <t xml:space="preserve">EMP-0141</t>
  </si>
  <si>
    <t xml:space="preserve">Richa Sharma</t>
  </si>
  <si>
    <t xml:space="preserve">Executive</t>
  </si>
  <si>
    <t xml:space="preserve">Richa Sharma (Executive)</t>
  </si>
  <si>
    <t xml:space="preserve">EMP-0142</t>
  </si>
  <si>
    <t xml:space="preserve">Minakshi</t>
  </si>
  <si>
    <t xml:space="preserve">Minakshi (Executive)</t>
  </si>
  <si>
    <t xml:space="preserve">EMP-0143</t>
  </si>
  <si>
    <t xml:space="preserve">Shruti Sharma</t>
  </si>
  <si>
    <t xml:space="preserve">Shruti Sharma (Executive)</t>
  </si>
  <si>
    <t xml:space="preserve">EMP-0144</t>
  </si>
  <si>
    <t xml:space="preserve">Divyanshi Aggarwal</t>
  </si>
  <si>
    <t xml:space="preserve">AM</t>
  </si>
  <si>
    <t xml:space="preserve">Divyanshi Aggarwal (AM)</t>
  </si>
  <si>
    <t xml:space="preserve">EMP-0145</t>
  </si>
  <si>
    <t xml:space="preserve">Shoa Fatima</t>
  </si>
  <si>
    <t xml:space="preserve">Shoa Fatima (Executive)</t>
  </si>
  <si>
    <t xml:space="preserve">EMP-0146</t>
  </si>
  <si>
    <t xml:space="preserve">Ananya Sharma</t>
  </si>
  <si>
    <t xml:space="preserve">Ananya Sharma (Executive)</t>
  </si>
  <si>
    <t xml:space="preserve">EMP-0147</t>
  </si>
  <si>
    <t xml:space="preserve">Sonal Mulye</t>
  </si>
  <si>
    <t xml:space="preserve">AVP</t>
  </si>
  <si>
    <t xml:space="preserve">Sonal Mulye (AVP)</t>
  </si>
  <si>
    <t xml:space="preserve">EMP-0148</t>
  </si>
  <si>
    <t xml:space="preserve">Kamlesh Jain</t>
  </si>
  <si>
    <t xml:space="preserve">Tech. Research Analyst</t>
  </si>
  <si>
    <t xml:space="preserve">Kamlesh Jain (Tech. Research Analyst)</t>
  </si>
  <si>
    <t xml:space="preserve">EMP-0149</t>
  </si>
  <si>
    <t xml:space="preserve">Deep Himanshu</t>
  </si>
  <si>
    <t xml:space="preserve">Deep Himanshu (Tech. Research Analyst)</t>
  </si>
  <si>
    <t xml:space="preserve">EMP-0150</t>
  </si>
  <si>
    <t xml:space="preserve">Abhishay Rajeev Upasham</t>
  </si>
  <si>
    <t xml:space="preserve">Equity Research Analyst</t>
  </si>
  <si>
    <t xml:space="preserve">ABHISHAY RAJEEV UPASHAM (Equity Research Analyst)</t>
  </si>
  <si>
    <t xml:space="preserve">EMP-0151</t>
  </si>
  <si>
    <t xml:space="preserve">Shubhanshi Satish Dixit</t>
  </si>
  <si>
    <t xml:space="preserve">Shubhanshi Satish Dixit (Sr. DM Executive)</t>
  </si>
  <si>
    <t xml:space="preserve">EMP-0152</t>
  </si>
  <si>
    <t xml:space="preserve">Aastha Johri</t>
  </si>
  <si>
    <t xml:space="preserve">Aastha Johri (Sr. Executive</t>
  </si>
  <si>
    <t xml:space="preserve">EMP-0153</t>
  </si>
  <si>
    <t xml:space="preserve">Miteeksha</t>
  </si>
  <si>
    <t xml:space="preserve">Manager - Content</t>
  </si>
  <si>
    <t xml:space="preserve">Single name only - add surname; Chart text malformed (fixed)</t>
  </si>
  <si>
    <t xml:space="preserve">Miteeksha (Manager - Content</t>
  </si>
  <si>
    <t xml:space="preserve">EMP-0154</t>
  </si>
  <si>
    <t xml:space="preserve">Sonali Karamchandni</t>
  </si>
  <si>
    <t xml:space="preserve">Influencer Marketing Manager</t>
  </si>
  <si>
    <t xml:space="preserve">Sonali Karamchandni (Influencer Marketing Manager)</t>
  </si>
  <si>
    <t xml:space="preserve">EMP-0155</t>
  </si>
  <si>
    <t xml:space="preserve">Rajesh Kumar</t>
  </si>
  <si>
    <t xml:space="preserve">Sr. SEO Specialist</t>
  </si>
  <si>
    <t xml:space="preserve">Rajesh Kumar (Sr. SEO Specialist)</t>
  </si>
  <si>
    <t xml:space="preserve">EMP-0156</t>
  </si>
  <si>
    <t xml:space="preserve">Vaishalika Nair</t>
  </si>
  <si>
    <t xml:space="preserve">Vaishalika Nair(Sr. SEO Specialist)</t>
  </si>
  <si>
    <t xml:space="preserve">EMP-0157</t>
  </si>
  <si>
    <t xml:space="preserve">Patel Rajesh</t>
  </si>
  <si>
    <t xml:space="preserve">VP - IT</t>
  </si>
  <si>
    <t xml:space="preserve">IT</t>
  </si>
  <si>
    <t xml:space="preserve">Patel Rajesh (VP - IT)</t>
  </si>
  <si>
    <t xml:space="preserve">EMP-0158</t>
  </si>
  <si>
    <t xml:space="preserve">Gaurav Pandav</t>
  </si>
  <si>
    <t xml:space="preserve">AM: IT</t>
  </si>
  <si>
    <t xml:space="preserve">Gaurav Pandav (AM: IT)</t>
  </si>
  <si>
    <t xml:space="preserve">EMP-0159</t>
  </si>
  <si>
    <t xml:space="preserve">Abhinav Wani</t>
  </si>
  <si>
    <t xml:space="preserve">Sr. AWS Engineer</t>
  </si>
  <si>
    <t xml:space="preserve">Abhinav Wani (Sr. AWS Engineer)</t>
  </si>
  <si>
    <t xml:space="preserve">EMP-0160</t>
  </si>
  <si>
    <t xml:space="preserve">Kartik Vembukumar</t>
  </si>
  <si>
    <t xml:space="preserve">Sr. IT</t>
  </si>
  <si>
    <t xml:space="preserve">Kartik Vembukumar (Sr. IT)</t>
  </si>
  <si>
    <t xml:space="preserve">EMP-0161</t>
  </si>
  <si>
    <t xml:space="preserve">Gurpreet Singh (Manager)</t>
  </si>
  <si>
    <t xml:space="preserve">EMP-0162</t>
  </si>
  <si>
    <t xml:space="preserve">Sourav Kumar</t>
  </si>
  <si>
    <t xml:space="preserve">Team Lead: IT</t>
  </si>
  <si>
    <t xml:space="preserve">Sourav Kumar (Team Lead: IT)</t>
  </si>
  <si>
    <t xml:space="preserve">EMP-0163</t>
  </si>
  <si>
    <t xml:space="preserve">Neeraj Kumar</t>
  </si>
  <si>
    <t xml:space="preserve">IT Executive</t>
  </si>
  <si>
    <t xml:space="preserve">Neeraj Kumar (IT Executive)</t>
  </si>
  <si>
    <t xml:space="preserve">EMP-0164</t>
  </si>
  <si>
    <t xml:space="preserve">Himanshu</t>
  </si>
  <si>
    <t xml:space="preserve">Executive: IT Monitoring &amp; Support</t>
  </si>
  <si>
    <t xml:space="preserve">Himanshu (Executive: IT Monitoring &amp; Support)</t>
  </si>
  <si>
    <t xml:space="preserve">EMP-0165</t>
  </si>
  <si>
    <t xml:space="preserve">Sunil Kumar</t>
  </si>
  <si>
    <t xml:space="preserve">Network Administrator</t>
  </si>
  <si>
    <t xml:space="preserve">Sunil Kumar (Network Administrator)</t>
  </si>
  <si>
    <t xml:space="preserve">EMP-0166</t>
  </si>
  <si>
    <t xml:space="preserve">Bhuvneshwar</t>
  </si>
  <si>
    <t xml:space="preserve">Server Administrator</t>
  </si>
  <si>
    <t xml:space="preserve">Bhuvneshwar (Server Administrator)</t>
  </si>
  <si>
    <t xml:space="preserve">EMP-0167</t>
  </si>
  <si>
    <t xml:space="preserve">Munish Kumar</t>
  </si>
  <si>
    <t xml:space="preserve">Executive:IT</t>
  </si>
  <si>
    <t xml:space="preserve">Munish Kumar (Exeutive:IT)</t>
  </si>
  <si>
    <t xml:space="preserve">EMP-0168</t>
  </si>
  <si>
    <t xml:space="preserve">Sahibpreet Singh</t>
  </si>
  <si>
    <t xml:space="preserve">Sahibpreet Singh (Executive:IT)</t>
  </si>
  <si>
    <t xml:space="preserve">Operations &amp; BO</t>
  </si>
  <si>
    <t xml:space="preserve">Pawan (AVP - Operations)</t>
  </si>
  <si>
    <t xml:space="preserve">EMP-0169</t>
  </si>
  <si>
    <t xml:space="preserve">Sanjay Kaushik</t>
  </si>
  <si>
    <t xml:space="preserve">Sanjay Kaushik (Team Lead)</t>
  </si>
  <si>
    <t xml:space="preserve">EMP-0170</t>
  </si>
  <si>
    <t xml:space="preserve">Vinay Thakur</t>
  </si>
  <si>
    <t xml:space="preserve">Ops Executive</t>
  </si>
  <si>
    <t xml:space="preserve">Vinay Thakur (Ops. Executive)</t>
  </si>
  <si>
    <t xml:space="preserve">EMP-0171</t>
  </si>
  <si>
    <t xml:space="preserve">Sukhpal Singh</t>
  </si>
  <si>
    <t xml:space="preserve">Sukhpal Singh (Ops. Executive)</t>
  </si>
  <si>
    <t xml:space="preserve">EMP-0172</t>
  </si>
  <si>
    <t xml:space="preserve">Manish Sharma</t>
  </si>
  <si>
    <t xml:space="preserve">Manish Sharma ( OPs. Executive)</t>
  </si>
  <si>
    <t xml:space="preserve">EMP-0173</t>
  </si>
  <si>
    <t xml:space="preserve">Abhishek</t>
  </si>
  <si>
    <t xml:space="preserve">Abhishek (OPs. Executive)</t>
  </si>
  <si>
    <t xml:space="preserve">EMP-0174</t>
  </si>
  <si>
    <t xml:space="preserve">Vivek Sharma</t>
  </si>
  <si>
    <t xml:space="preserve">Sr. BO Manager</t>
  </si>
  <si>
    <t xml:space="preserve">Vivek Sharma (Sr. BO Manager)</t>
  </si>
  <si>
    <t xml:space="preserve">EMP-0175</t>
  </si>
  <si>
    <t xml:space="preserve">Kanav Verma</t>
  </si>
  <si>
    <t xml:space="preserve">Kanav Verma (Team Lead)</t>
  </si>
  <si>
    <t xml:space="preserve">EMP-0176</t>
  </si>
  <si>
    <t xml:space="preserve">Ashwani</t>
  </si>
  <si>
    <t xml:space="preserve">Sr. BO Executive</t>
  </si>
  <si>
    <t xml:space="preserve">Ashwani (Sr. BO Executive)</t>
  </si>
  <si>
    <t xml:space="preserve">EMP-0177</t>
  </si>
  <si>
    <t xml:space="preserve">Lakhbir Singh</t>
  </si>
  <si>
    <t xml:space="preserve">BO Executive</t>
  </si>
  <si>
    <t xml:space="preserve">Lakhbir Singh (BO Executive)</t>
  </si>
  <si>
    <t xml:space="preserve">EMP-0178</t>
  </si>
  <si>
    <t xml:space="preserve">Tarnum</t>
  </si>
  <si>
    <t xml:space="preserve">Tarnum (BO Executive)</t>
  </si>
  <si>
    <t xml:space="preserve">EMP-0179</t>
  </si>
  <si>
    <t xml:space="preserve">Jitender Thakur (BO Executive)</t>
  </si>
  <si>
    <t xml:space="preserve">EMP-0180</t>
  </si>
  <si>
    <t xml:space="preserve">Anil Kumar</t>
  </si>
  <si>
    <t xml:space="preserve">ANIL KUMAR (BO Executive)</t>
  </si>
  <si>
    <t xml:space="preserve">EMP-0181</t>
  </si>
  <si>
    <t xml:space="preserve">Jai Dev Singh</t>
  </si>
  <si>
    <t xml:space="preserve">Jai Dev Singh (Team Lead)</t>
  </si>
  <si>
    <t xml:space="preserve">EMP-0182</t>
  </si>
  <si>
    <t xml:space="preserve">Devinder Singh</t>
  </si>
  <si>
    <t xml:space="preserve">Devinder Singh (BO Executive)</t>
  </si>
  <si>
    <t xml:space="preserve">EMP-0183</t>
  </si>
  <si>
    <t xml:space="preserve">Anmol Koundal</t>
  </si>
  <si>
    <t xml:space="preserve">Anmol Koundal (BO Executive)</t>
  </si>
  <si>
    <t xml:space="preserve">EMP-0184</t>
  </si>
  <si>
    <t xml:space="preserve">Palak Mahajan</t>
  </si>
  <si>
    <t xml:space="preserve">Palak Mahajan (BO Executive)</t>
  </si>
  <si>
    <t xml:space="preserve">EMP-0185</t>
  </si>
  <si>
    <t xml:space="preserve">Neeraj</t>
  </si>
  <si>
    <t xml:space="preserve">Neeraj(BO Executive)</t>
  </si>
  <si>
    <t xml:space="preserve">EMP-0186</t>
  </si>
  <si>
    <t xml:space="preserve">Kalpana</t>
  </si>
  <si>
    <t xml:space="preserve">Kalpana (Sr. BO Executive)</t>
  </si>
  <si>
    <t xml:space="preserve">EMP-0187</t>
  </si>
  <si>
    <t xml:space="preserve">Akashdeep</t>
  </si>
  <si>
    <t xml:space="preserve">Akashdeep (Team Lead)</t>
  </si>
  <si>
    <t xml:space="preserve">EMP-0188</t>
  </si>
  <si>
    <t xml:space="preserve">Pragna</t>
  </si>
  <si>
    <t xml:space="preserve">Pragna (BO Executive)</t>
  </si>
  <si>
    <t xml:space="preserve">EMP-0189</t>
  </si>
  <si>
    <t xml:space="preserve">Sumish</t>
  </si>
  <si>
    <t xml:space="preserve">Sumish (BO Executive)</t>
  </si>
  <si>
    <t xml:space="preserve">EMP-0190</t>
  </si>
  <si>
    <t xml:space="preserve">Sonam</t>
  </si>
  <si>
    <t xml:space="preserve">Sonam (BO Executive)</t>
  </si>
  <si>
    <t xml:space="preserve">EMP-0191</t>
  </si>
  <si>
    <t xml:space="preserve">Deepak Kumar</t>
  </si>
  <si>
    <t xml:space="preserve">DEEPAK KUMAR (BO Executive</t>
  </si>
  <si>
    <t xml:space="preserve">EMP-0192</t>
  </si>
  <si>
    <t xml:space="preserve">Akshit Sandal</t>
  </si>
  <si>
    <t xml:space="preserve">AKSHIT SANDAL (BO Executive)</t>
  </si>
  <si>
    <t xml:space="preserve">EMP-0193</t>
  </si>
  <si>
    <t xml:space="preserve">Yachika</t>
  </si>
  <si>
    <t xml:space="preserve">Yachika (Team Lead)</t>
  </si>
  <si>
    <t xml:space="preserve">EMP-0194</t>
  </si>
  <si>
    <t xml:space="preserve">Suman</t>
  </si>
  <si>
    <t xml:space="preserve">Suman (Sr. BO Executive)</t>
  </si>
  <si>
    <t xml:space="preserve">EMP-0195</t>
  </si>
  <si>
    <t xml:space="preserve">Parvinder Kaur</t>
  </si>
  <si>
    <t xml:space="preserve">Team Lead:Surveillance</t>
  </si>
  <si>
    <t xml:space="preserve">Parvinder Kaur (Team Lead:Survelliance)</t>
  </si>
  <si>
    <t xml:space="preserve">EMP-0196</t>
  </si>
  <si>
    <t xml:space="preserve">Anuj Patial</t>
  </si>
  <si>
    <t xml:space="preserve">Anuj Patial (BO Executive)</t>
  </si>
  <si>
    <t xml:space="preserve">Compliance</t>
  </si>
  <si>
    <t xml:space="preserve">EMP-0197</t>
  </si>
  <si>
    <t xml:space="preserve">Akanksha Chhabra</t>
  </si>
  <si>
    <t xml:space="preserve">Manager Compliance</t>
  </si>
  <si>
    <t xml:space="preserve">Akanksha Chhabra ( Manager Compliance)</t>
  </si>
  <si>
    <t xml:space="preserve">EMP-0198</t>
  </si>
  <si>
    <t xml:space="preserve">Hardeep Singh</t>
  </si>
  <si>
    <t xml:space="preserve">AM Compliance</t>
  </si>
  <si>
    <t xml:space="preserve">Hardeep Singh (AM Compliance)</t>
  </si>
  <si>
    <t xml:space="preserve">EMP-0199</t>
  </si>
  <si>
    <t xml:space="preserve">Kartik Khatwal</t>
  </si>
  <si>
    <t xml:space="preserve">Executive Compliance</t>
  </si>
  <si>
    <t xml:space="preserve">Kartik Khatwal (Executive Compliance)</t>
  </si>
  <si>
    <t xml:space="preserve">POS-0200</t>
  </si>
  <si>
    <t xml:space="preserve">EMP-0201</t>
  </si>
  <si>
    <t xml:space="preserve">Kunal Malviya</t>
  </si>
  <si>
    <t xml:space="preserve">Kunal Malviya ( Manager Compliance)</t>
  </si>
  <si>
    <t xml:space="preserve">EMP-0202</t>
  </si>
  <si>
    <t xml:space="preserve">Mohd. Ali Khan</t>
  </si>
  <si>
    <t xml:space="preserve">Sr Executive</t>
  </si>
  <si>
    <t xml:space="preserve">Mohd. Ali Khan ( Sr Executive)</t>
  </si>
  <si>
    <t xml:space="preserve">EMP-0203</t>
  </si>
  <si>
    <t xml:space="preserve">Ayushman Dey</t>
  </si>
  <si>
    <t xml:space="preserve">Sr. RMS Manager</t>
  </si>
  <si>
    <t xml:space="preserve">RMS &amp; Dealer</t>
  </si>
  <si>
    <t xml:space="preserve">Ayushman Dey (Sr. RMS Manager)</t>
  </si>
  <si>
    <t xml:space="preserve">EMP-0204</t>
  </si>
  <si>
    <t xml:space="preserve">RMS Manager</t>
  </si>
  <si>
    <t xml:space="preserve">Naveen Kumar (RMS Manager)</t>
  </si>
  <si>
    <t xml:space="preserve">EMP-0205</t>
  </si>
  <si>
    <t xml:space="preserve">Sr. RMS Executive</t>
  </si>
  <si>
    <t xml:space="preserve">Neeraj Kumar (Sr. RMS Executive)</t>
  </si>
  <si>
    <t xml:space="preserve">EMP-0206</t>
  </si>
  <si>
    <t xml:space="preserve">Salim Khan</t>
  </si>
  <si>
    <t xml:space="preserve">RMS Executive</t>
  </si>
  <si>
    <t xml:space="preserve">Name shared with another record - confirm identity; Appears twice in same chart - possible duplicate</t>
  </si>
  <si>
    <t xml:space="preserve">Salim Khan (RMS Executive)</t>
  </si>
  <si>
    <t xml:space="preserve">EMP-0207</t>
  </si>
  <si>
    <t xml:space="preserve">Vineet Thakur</t>
  </si>
  <si>
    <t xml:space="preserve">Lead RMS</t>
  </si>
  <si>
    <t xml:space="preserve">Vineet Thakur (Lead RMS)</t>
  </si>
  <si>
    <t xml:space="preserve">EMP-0208</t>
  </si>
  <si>
    <t xml:space="preserve">EMP-0209</t>
  </si>
  <si>
    <t xml:space="preserve">Anil Kumar Dubey</t>
  </si>
  <si>
    <t xml:space="preserve">Anil Kumar Dubey (Manager)</t>
  </si>
  <si>
    <t xml:space="preserve">EMP-0210</t>
  </si>
  <si>
    <t xml:space="preserve">Chetan Chandrakant</t>
  </si>
  <si>
    <t xml:space="preserve">Chetan Chandrakant (AM)</t>
  </si>
  <si>
    <t xml:space="preserve">EMP-0211</t>
  </si>
  <si>
    <t xml:space="preserve">Kuldeep Kumar</t>
  </si>
  <si>
    <t xml:space="preserve">Dealer Manager</t>
  </si>
  <si>
    <t xml:space="preserve">Kuldeep Kumar (Dealer Manager)</t>
  </si>
  <si>
    <t xml:space="preserve">EMP-0212</t>
  </si>
  <si>
    <t xml:space="preserve">Jagat Singh</t>
  </si>
  <si>
    <t xml:space="preserve">Sr. Dealer</t>
  </si>
  <si>
    <t xml:space="preserve">Jagat Singh (Sr. Dealer)</t>
  </si>
  <si>
    <t xml:space="preserve">EMP-0213</t>
  </si>
  <si>
    <t xml:space="preserve">Lakhan Singh</t>
  </si>
  <si>
    <t xml:space="preserve">Lakhan Singh (Sr. Dealer)</t>
  </si>
  <si>
    <t xml:space="preserve">EMP-0214</t>
  </si>
  <si>
    <t xml:space="preserve">Ajay Rana</t>
  </si>
  <si>
    <t xml:space="preserve">Ajay Rana (Dealer Manager)</t>
  </si>
  <si>
    <t xml:space="preserve">EMP-0215</t>
  </si>
  <si>
    <t xml:space="preserve">Sher Singh</t>
  </si>
  <si>
    <t xml:space="preserve">Sher Singh (Sr. Dealer)</t>
  </si>
  <si>
    <t xml:space="preserve">EMP-0216</t>
  </si>
  <si>
    <t xml:space="preserve">Vikram Singh Thakur</t>
  </si>
  <si>
    <t xml:space="preserve">Vikram Singh Thakur (Sr. Dealer)</t>
  </si>
  <si>
    <t xml:space="preserve">EMP-0217</t>
  </si>
  <si>
    <t xml:space="preserve">Nishant Kumar</t>
  </si>
  <si>
    <t xml:space="preserve">Nishant Kumar (Sr. Dealer)</t>
  </si>
  <si>
    <t xml:space="preserve">EMP-0218</t>
  </si>
  <si>
    <t xml:space="preserve">Samrudhhi Sandeep Jadhav</t>
  </si>
  <si>
    <t xml:space="preserve">AM- RMS</t>
  </si>
  <si>
    <t xml:space="preserve">SAMRUDHHI SANDEEP JADHAV (AM- RMS)</t>
  </si>
  <si>
    <t xml:space="preserve">EMP-0219</t>
  </si>
  <si>
    <t xml:space="preserve">Kapil Abrol</t>
  </si>
  <si>
    <t xml:space="preserve">AVP-CS</t>
  </si>
  <si>
    <t xml:space="preserve">Client Support</t>
  </si>
  <si>
    <t xml:space="preserve">Kapil Abrol (AVP -CS)</t>
  </si>
  <si>
    <t xml:space="preserve">EMP-0220</t>
  </si>
  <si>
    <t xml:space="preserve">Angel Sharma</t>
  </si>
  <si>
    <t xml:space="preserve">Angel Sharma (Sr. Manager)</t>
  </si>
  <si>
    <t xml:space="preserve">EMP-0221</t>
  </si>
  <si>
    <t xml:space="preserve">Sahil Sharma</t>
  </si>
  <si>
    <t xml:space="preserve">AM-CS</t>
  </si>
  <si>
    <t xml:space="preserve">Sahil Sharma (AM-CS)</t>
  </si>
  <si>
    <t xml:space="preserve">EMP-0222</t>
  </si>
  <si>
    <t xml:space="preserve">Ramandeep Kaur</t>
  </si>
  <si>
    <t xml:space="preserve">Sr. CS Executive</t>
  </si>
  <si>
    <t xml:space="preserve">Name shared with another record - confirm identity; Chart text malformed (fixed)</t>
  </si>
  <si>
    <t xml:space="preserve">Ramandeep Kaur (Sr. CS Executive</t>
  </si>
  <si>
    <t xml:space="preserve">EMP-0223</t>
  </si>
  <si>
    <t xml:space="preserve">CS Executive</t>
  </si>
  <si>
    <t xml:space="preserve">Ankit (CS Executive)</t>
  </si>
  <si>
    <t xml:space="preserve">EMP-0224</t>
  </si>
  <si>
    <t xml:space="preserve">Aaina Ghill</t>
  </si>
  <si>
    <t xml:space="preserve">Aaina Ghill (Team Lead)</t>
  </si>
  <si>
    <t xml:space="preserve">EMP-0225</t>
  </si>
  <si>
    <t xml:space="preserve">Arun</t>
  </si>
  <si>
    <t xml:space="preserve">Arun (Sr. CS Executive)</t>
  </si>
  <si>
    <t xml:space="preserve">EMP-0226</t>
  </si>
  <si>
    <t xml:space="preserve">Kiritika Kanwar</t>
  </si>
  <si>
    <t xml:space="preserve">Kiritika Kanwar (CS Executive)</t>
  </si>
  <si>
    <t xml:space="preserve">EMP-0227</t>
  </si>
  <si>
    <t xml:space="preserve">Shalini Dhiman</t>
  </si>
  <si>
    <t xml:space="preserve">Shalini Dhiman (CS Executive)</t>
  </si>
  <si>
    <t xml:space="preserve">EMP-0228</t>
  </si>
  <si>
    <t xml:space="preserve">Sachin</t>
  </si>
  <si>
    <t xml:space="preserve">Sachin (CS Executive)</t>
  </si>
  <si>
    <t xml:space="preserve">EMP-0229</t>
  </si>
  <si>
    <t xml:space="preserve">Shagun</t>
  </si>
  <si>
    <t xml:space="preserve">Shagun (CS Executive)</t>
  </si>
  <si>
    <t xml:space="preserve">EMP-0230</t>
  </si>
  <si>
    <t xml:space="preserve">Jaspal</t>
  </si>
  <si>
    <t xml:space="preserve">Jaspal (Team Lead)</t>
  </si>
  <si>
    <t xml:space="preserve">EMP-0231</t>
  </si>
  <si>
    <t xml:space="preserve">Siya Bhadwal</t>
  </si>
  <si>
    <t xml:space="preserve">Siya Bhadwal (CS Executive)</t>
  </si>
  <si>
    <t xml:space="preserve">EMP-0232</t>
  </si>
  <si>
    <t xml:space="preserve">Harsh Kumar</t>
  </si>
  <si>
    <t xml:space="preserve">Harsh Kumar (CS Executive)</t>
  </si>
  <si>
    <t xml:space="preserve">EMP-0233</t>
  </si>
  <si>
    <t xml:space="preserve">Akriti</t>
  </si>
  <si>
    <t xml:space="preserve">Akriti (Sr. CS Executive)</t>
  </si>
  <si>
    <t xml:space="preserve">EMP-0234</t>
  </si>
  <si>
    <t xml:space="preserve">Anuj Kumar</t>
  </si>
  <si>
    <t xml:space="preserve">Anuj Kumar (CS Executive)</t>
  </si>
  <si>
    <t xml:space="preserve">EMP-0235</t>
  </si>
  <si>
    <t xml:space="preserve">Rajdeep Kaur</t>
  </si>
  <si>
    <t xml:space="preserve">Rajdeep Kaur (CS Executive)</t>
  </si>
  <si>
    <t xml:space="preserve">EMP-0236</t>
  </si>
  <si>
    <t xml:space="preserve">Kajal</t>
  </si>
  <si>
    <t xml:space="preserve">Kajal (CS Executive)</t>
  </si>
  <si>
    <t xml:space="preserve">EMP-0237</t>
  </si>
  <si>
    <t xml:space="preserve">Adity Chiba</t>
  </si>
  <si>
    <t xml:space="preserve">Sr. CS Manager</t>
  </si>
  <si>
    <t xml:space="preserve">Adity Chiba (Sr. .CS Manager)</t>
  </si>
  <si>
    <t xml:space="preserve">EMP-0238</t>
  </si>
  <si>
    <t xml:space="preserve">Savita Rawat</t>
  </si>
  <si>
    <t xml:space="preserve">Savita Rawat (CS Executive)</t>
  </si>
  <si>
    <t xml:space="preserve">EMP-0239</t>
  </si>
  <si>
    <t xml:space="preserve">Neeru Arya</t>
  </si>
  <si>
    <t xml:space="preserve">Neeru Arya (Sr. Team Lead)</t>
  </si>
  <si>
    <t xml:space="preserve">EMP-0240</t>
  </si>
  <si>
    <t xml:space="preserve">Amritpal Singh</t>
  </si>
  <si>
    <t xml:space="preserve">Amritpal Singh (CS Executive)</t>
  </si>
  <si>
    <t xml:space="preserve">EMP-0241</t>
  </si>
  <si>
    <t xml:space="preserve">Shubham</t>
  </si>
  <si>
    <t xml:space="preserve">Shubham (CS Executive)</t>
  </si>
  <si>
    <t xml:space="preserve">EMP-0242</t>
  </si>
  <si>
    <t xml:space="preserve">Kartika</t>
  </si>
  <si>
    <t xml:space="preserve">Kartika (Sr. CS Executive)</t>
  </si>
  <si>
    <t xml:space="preserve">EMP-0243</t>
  </si>
  <si>
    <t xml:space="preserve">Nikhil</t>
  </si>
  <si>
    <t xml:space="preserve">Nikhil (CS Executive)</t>
  </si>
  <si>
    <t xml:space="preserve">EMP-0244</t>
  </si>
  <si>
    <t xml:space="preserve">Saurabh Bhardwaj</t>
  </si>
  <si>
    <t xml:space="preserve">Saurabh Bhardwaj (CS Executive)</t>
  </si>
  <si>
    <t xml:space="preserve">EMP-0245</t>
  </si>
  <si>
    <t xml:space="preserve">Ajay Kumar</t>
  </si>
  <si>
    <t xml:space="preserve">Ajay Kumar (CS Executive)</t>
  </si>
  <si>
    <t xml:space="preserve">EMP-0246</t>
  </si>
  <si>
    <t xml:space="preserve">Vishakha Sharma</t>
  </si>
  <si>
    <t xml:space="preserve">Vishakha Sharma (AM-CS)</t>
  </si>
  <si>
    <t xml:space="preserve">EMP-0247</t>
  </si>
  <si>
    <t xml:space="preserve">Dilpreet Kaur</t>
  </si>
  <si>
    <t xml:space="preserve">Dilpreet Kaur (CS Executive)</t>
  </si>
  <si>
    <t xml:space="preserve">EMP-0248</t>
  </si>
  <si>
    <t xml:space="preserve">Tarun Khajuria</t>
  </si>
  <si>
    <t xml:space="preserve">Tarun Khajuria (CS Executive)</t>
  </si>
  <si>
    <t xml:space="preserve">EMP-0249</t>
  </si>
  <si>
    <t xml:space="preserve">Abhimanyu Thakur</t>
  </si>
  <si>
    <t xml:space="preserve">Abhimanyu Thakur (CS Executive)</t>
  </si>
  <si>
    <t xml:space="preserve">EMP-0250</t>
  </si>
  <si>
    <t xml:space="preserve">Hardeep Singh (CS EXecutive</t>
  </si>
  <si>
    <t xml:space="preserve">EMP-0251</t>
  </si>
  <si>
    <t xml:space="preserve">Kamaljeet Kaur</t>
  </si>
  <si>
    <t xml:space="preserve">Kamaljeet Kaur (CS Executive</t>
  </si>
  <si>
    <t xml:space="preserve">EMP-0252</t>
  </si>
  <si>
    <t xml:space="preserve">EMP-0253</t>
  </si>
  <si>
    <t xml:space="preserve">Vidyotma Khanna</t>
  </si>
  <si>
    <t xml:space="preserve">Vidyotma Khanna (CS Executive)</t>
  </si>
  <si>
    <t xml:space="preserve">EMP-0254</t>
  </si>
  <si>
    <t xml:space="preserve">Kapil Sachdev</t>
  </si>
  <si>
    <t xml:space="preserve">jUMPP CS &amp; Sales</t>
  </si>
  <si>
    <t xml:space="preserve">Kapil Sachdev (AVP -CS)</t>
  </si>
  <si>
    <t xml:space="preserve">EMP-0255</t>
  </si>
  <si>
    <t xml:space="preserve">Jyoti Kapoor</t>
  </si>
  <si>
    <t xml:space="preserve">Manager: CS</t>
  </si>
  <si>
    <t xml:space="preserve">Jyoti Kapoor (Manager: CS)</t>
  </si>
  <si>
    <t xml:space="preserve">EMP-0256</t>
  </si>
  <si>
    <t xml:space="preserve">Priyanka Rana</t>
  </si>
  <si>
    <t xml:space="preserve">Team Lead:CS</t>
  </si>
  <si>
    <t xml:space="preserve">Priyanka Rana (Team Lead:CS)</t>
  </si>
  <si>
    <t xml:space="preserve">EMP-0257</t>
  </si>
  <si>
    <t xml:space="preserve">Arti</t>
  </si>
  <si>
    <t xml:space="preserve">Arti (CS Executive)</t>
  </si>
  <si>
    <t xml:space="preserve">EMP-0258</t>
  </si>
  <si>
    <t xml:space="preserve">Sakshi Sharma</t>
  </si>
  <si>
    <t xml:space="preserve">Sakshi Sharma (CS Executive)</t>
  </si>
  <si>
    <t xml:space="preserve">EMP-0259</t>
  </si>
  <si>
    <t xml:space="preserve">Jaspal Kaur</t>
  </si>
  <si>
    <t xml:space="preserve">Jaspal Kaur (CS Executive)</t>
  </si>
  <si>
    <t xml:space="preserve">EMP-0260</t>
  </si>
  <si>
    <t xml:space="preserve">Manish Chauhan</t>
  </si>
  <si>
    <t xml:space="preserve">Manager: Sales</t>
  </si>
  <si>
    <t xml:space="preserve">Manish Chauhan (Manager: Sales)</t>
  </si>
  <si>
    <t xml:space="preserve">EMP-0261</t>
  </si>
  <si>
    <t xml:space="preserve">Deepak Goswami</t>
  </si>
  <si>
    <t xml:space="preserve">Team Lead:Sales</t>
  </si>
  <si>
    <t xml:space="preserve">Deepak Goswami (Team Lead:Sales)</t>
  </si>
  <si>
    <t xml:space="preserve">EMP-0262</t>
  </si>
  <si>
    <t xml:space="preserve">Varun Joan</t>
  </si>
  <si>
    <t xml:space="preserve">Sales Executive</t>
  </si>
  <si>
    <t xml:space="preserve">Varun Joan (Sales Executive</t>
  </si>
  <si>
    <t xml:space="preserve">EMP-0263</t>
  </si>
  <si>
    <t xml:space="preserve">Himani Kaushik</t>
  </si>
  <si>
    <t xml:space="preserve">Himani Kaushik (Sales Executive)</t>
  </si>
  <si>
    <t xml:space="preserve">EMP-0264</t>
  </si>
  <si>
    <t xml:space="preserve">Priyanka Negi</t>
  </si>
  <si>
    <t xml:space="preserve">Priyanka Negi (Sales EXecutive</t>
  </si>
  <si>
    <t xml:space="preserve">EMP-0265</t>
  </si>
  <si>
    <t xml:space="preserve">Gurjot Singh</t>
  </si>
  <si>
    <t xml:space="preserve">AVP-Sales</t>
  </si>
  <si>
    <t xml:space="preserve">Sales</t>
  </si>
  <si>
    <t xml:space="preserve">Gurjot Singh (AVP -Sales)</t>
  </si>
  <si>
    <t xml:space="preserve">EMP-0266</t>
  </si>
  <si>
    <t xml:space="preserve">Amit Kumar (Manager)</t>
  </si>
  <si>
    <t xml:space="preserve">EMP-0267</t>
  </si>
  <si>
    <t xml:space="preserve">Parmodh Singh</t>
  </si>
  <si>
    <t xml:space="preserve">Parmodh Singh (Team Lead)</t>
  </si>
  <si>
    <t xml:space="preserve">EMP-0268</t>
  </si>
  <si>
    <t xml:space="preserve">Gouri</t>
  </si>
  <si>
    <t xml:space="preserve">Gouri (Sales Executive)</t>
  </si>
  <si>
    <t xml:space="preserve">EMP-0269</t>
  </si>
  <si>
    <t xml:space="preserve">Satwinder Singh</t>
  </si>
  <si>
    <t xml:space="preserve">RM</t>
  </si>
  <si>
    <t xml:space="preserve">Satwinder Singh (RM)</t>
  </si>
  <si>
    <t xml:space="preserve">EMP-0270</t>
  </si>
  <si>
    <t xml:space="preserve">Ashwani Kumar</t>
  </si>
  <si>
    <t xml:space="preserve">Ashwani Kumar (Sales Exective)</t>
  </si>
  <si>
    <t xml:space="preserve">EMP-0271</t>
  </si>
  <si>
    <t xml:space="preserve">Shweta Jadhav</t>
  </si>
  <si>
    <t xml:space="preserve">Front Office Executive</t>
  </si>
  <si>
    <t xml:space="preserve">Shweta Jadhav (Front Office Executive)</t>
  </si>
  <si>
    <t xml:space="preserve">EMP-0272</t>
  </si>
  <si>
    <t xml:space="preserve">Shalini Ambavane</t>
  </si>
  <si>
    <t xml:space="preserve">Sr. Sales Executive</t>
  </si>
  <si>
    <t xml:space="preserve">Shalini Ambavane (Sr. Sales Executive)</t>
  </si>
  <si>
    <t xml:space="preserve">EMP-0273</t>
  </si>
  <si>
    <t xml:space="preserve">Amanpreet</t>
  </si>
  <si>
    <t xml:space="preserve">Amanpreet (Team Lead)</t>
  </si>
  <si>
    <t xml:space="preserve">EMP-0274</t>
  </si>
  <si>
    <t xml:space="preserve">Shivani</t>
  </si>
  <si>
    <t xml:space="preserve">Shivani (Sr. Sales Executive)</t>
  </si>
  <si>
    <t xml:space="preserve">EMP-0275</t>
  </si>
  <si>
    <t xml:space="preserve">Shivani Dhiman</t>
  </si>
  <si>
    <t xml:space="preserve">Shivani Dhiman (Sales Executive)</t>
  </si>
  <si>
    <t xml:space="preserve">EMP-0276</t>
  </si>
  <si>
    <t xml:space="preserve">Salamat Ali Shah</t>
  </si>
  <si>
    <t xml:space="preserve">Salamat Ali Shah (Sr. Sales Executive)</t>
  </si>
  <si>
    <t xml:space="preserve">EMP-0277</t>
  </si>
  <si>
    <t xml:space="preserve">Shubham Sharma</t>
  </si>
  <si>
    <t xml:space="preserve">Shubham Sharma (Team Lead)</t>
  </si>
  <si>
    <t xml:space="preserve">EMP-0278</t>
  </si>
  <si>
    <t xml:space="preserve">Anita Rajinder</t>
  </si>
  <si>
    <t xml:space="preserve">Anita Rajinder (Sales Executive)</t>
  </si>
  <si>
    <t xml:space="preserve">EMP-0279</t>
  </si>
  <si>
    <t xml:space="preserve">Simarjit Kaur</t>
  </si>
  <si>
    <t xml:space="preserve">Simarjit Kaur(Sales Executive)</t>
  </si>
  <si>
    <t xml:space="preserve">EMP-0280</t>
  </si>
  <si>
    <t xml:space="preserve">Rajesh Kumar (Sr. Manager)</t>
  </si>
  <si>
    <t xml:space="preserve">EMP-0281</t>
  </si>
  <si>
    <t xml:space="preserve">Sakshi Sharma (Team Lead)</t>
  </si>
  <si>
    <t xml:space="preserve">EMP-0282</t>
  </si>
  <si>
    <t xml:space="preserve">Alishba Khan</t>
  </si>
  <si>
    <t xml:space="preserve">Alishba Khan (Sales Executive)</t>
  </si>
  <si>
    <t xml:space="preserve">EMP-0283</t>
  </si>
  <si>
    <t xml:space="preserve">Ramandeep Kaur (Sales Executive)</t>
  </si>
  <si>
    <t xml:space="preserve">EMP-0284</t>
  </si>
  <si>
    <t xml:space="preserve">Tanu Thakur</t>
  </si>
  <si>
    <t xml:space="preserve">Tanu Thakur (Sales Executive)</t>
  </si>
  <si>
    <t xml:space="preserve">EMP-0285</t>
  </si>
  <si>
    <t xml:space="preserve">Rajat Kapoor</t>
  </si>
  <si>
    <t xml:space="preserve">Rajat Kapoor (Sales Executive)</t>
  </si>
  <si>
    <t xml:space="preserve">EMP-0286</t>
  </si>
  <si>
    <t xml:space="preserve">Ujjwala Yadav</t>
  </si>
  <si>
    <t xml:space="preserve">Ujjwala Yadav (Sales Executive)</t>
  </si>
  <si>
    <t xml:space="preserve">EMP-0287</t>
  </si>
  <si>
    <t xml:space="preserve">Anshul Thakur</t>
  </si>
  <si>
    <t xml:space="preserve">Anshul Thakur (Team Lead)</t>
  </si>
  <si>
    <t xml:space="preserve">EMP-0288</t>
  </si>
  <si>
    <t xml:space="preserve">Upasna</t>
  </si>
  <si>
    <t xml:space="preserve">Upasna (Sales Executive)</t>
  </si>
  <si>
    <t xml:space="preserve">EMP-0289</t>
  </si>
  <si>
    <t xml:space="preserve">Babita Thakur</t>
  </si>
  <si>
    <t xml:space="preserve">Babita Thakur (Sales Executive)</t>
  </si>
  <si>
    <t xml:space="preserve">EMP-0290</t>
  </si>
  <si>
    <t xml:space="preserve">Kulwinder Kaur</t>
  </si>
  <si>
    <t xml:space="preserve">Kulwinder Kaur (Sales Executive)</t>
  </si>
  <si>
    <t xml:space="preserve">EMP-0291</t>
  </si>
  <si>
    <t xml:space="preserve">Rahul Joshi</t>
  </si>
  <si>
    <t xml:space="preserve">Rahul Joshi (Sr. Sales Executive)</t>
  </si>
  <si>
    <t xml:space="preserve">EMP-0292</t>
  </si>
  <si>
    <t xml:space="preserve">Nadeem M</t>
  </si>
  <si>
    <t xml:space="preserve">Nadeem M (Sales Executive)</t>
  </si>
  <si>
    <t xml:space="preserve">EMP-0293</t>
  </si>
  <si>
    <t xml:space="preserve">Keshav Khullar</t>
  </si>
  <si>
    <t xml:space="preserve">Business Research Analyst</t>
  </si>
  <si>
    <t xml:space="preserve">Keshav Khullar (Businnes Research Analyst)</t>
  </si>
  <si>
    <t xml:space="preserve">EMP-0294</t>
  </si>
  <si>
    <t xml:space="preserve">Kunal Sethi</t>
  </si>
  <si>
    <t xml:space="preserve">Brand Partner Associate</t>
  </si>
  <si>
    <t xml:space="preserve">Kunal Sethi (Brand Partner Associate)</t>
  </si>
  <si>
    <t xml:space="preserve">EMP-0295</t>
  </si>
  <si>
    <t xml:space="preserve">Anju Kumari</t>
  </si>
  <si>
    <t xml:space="preserve">Sr. Team Leader</t>
  </si>
  <si>
    <t xml:space="preserve">Anju Kumari (Sr. Team Leader)</t>
  </si>
  <si>
    <t xml:space="preserve">EMP-0296</t>
  </si>
  <si>
    <t xml:space="preserve">Sunaina Joshi</t>
  </si>
  <si>
    <t xml:space="preserve">Sunaina Joshi (Sales Executive)</t>
  </si>
  <si>
    <t xml:space="preserve">EMP-0297</t>
  </si>
  <si>
    <t xml:space="preserve">Neha Solanki</t>
  </si>
  <si>
    <t xml:space="preserve">Neha Solanki (Sales Executive)</t>
  </si>
  <si>
    <t xml:space="preserve">EMP-0298</t>
  </si>
  <si>
    <t xml:space="preserve">Durga Paswan</t>
  </si>
  <si>
    <t xml:space="preserve">Associate Sales Manager</t>
  </si>
  <si>
    <t xml:space="preserve">Durga Paswan (Associate Sales Manager)</t>
  </si>
  <si>
    <t xml:space="preserve">EMP-0299</t>
  </si>
  <si>
    <t xml:space="preserve">Deepak Moraina</t>
  </si>
  <si>
    <t xml:space="preserve">Deepak Moraina (Sales Executive)</t>
  </si>
  <si>
    <t xml:space="preserve">EMP-0300</t>
  </si>
  <si>
    <t xml:space="preserve">Dipanshu Gupta</t>
  </si>
  <si>
    <t xml:space="preserve">Dipanshu Gupta (Associate BA)</t>
  </si>
  <si>
    <t xml:space="preserve">EMP-0301</t>
  </si>
  <si>
    <t xml:space="preserve">Pratham Arora</t>
  </si>
  <si>
    <t xml:space="preserve">Pratham Arora (Associate BA)</t>
  </si>
  <si>
    <t xml:space="preserve">EMP-0302</t>
  </si>
  <si>
    <t xml:space="preserve">Sachin Ghambir</t>
  </si>
  <si>
    <t xml:space="preserve">AVP: Credit</t>
  </si>
  <si>
    <t xml:space="preserve">NBFC</t>
  </si>
  <si>
    <t xml:space="preserve">Sachin Ghambir (AVP: Credit)</t>
  </si>
  <si>
    <t xml:space="preserve">EMP-0303</t>
  </si>
  <si>
    <t xml:space="preserve">VijayPal Singh</t>
  </si>
  <si>
    <t xml:space="preserve">AVP: Collection</t>
  </si>
  <si>
    <t xml:space="preserve">VijayPal Singh (AVP: Collection)</t>
  </si>
  <si>
    <t xml:space="preserve">EMP-0304</t>
  </si>
  <si>
    <t xml:space="preserve">Sr. Manager Credit</t>
  </si>
  <si>
    <t xml:space="preserve">Mukesh Kumar (Sr. Manager Credit)</t>
  </si>
  <si>
    <t xml:space="preserve">EMP-0305</t>
  </si>
  <si>
    <t xml:space="preserve">DeepChaya</t>
  </si>
  <si>
    <t xml:space="preserve">Manager OPS</t>
  </si>
  <si>
    <t xml:space="preserve">DeepChaya (Manager OPS)</t>
  </si>
  <si>
    <t xml:space="preserve">EMP-0306</t>
  </si>
  <si>
    <t xml:space="preserve">Harpreet Singh Nurpuri</t>
  </si>
  <si>
    <t xml:space="preserve">Sr. Manager Sales</t>
  </si>
  <si>
    <t xml:space="preserve">Harpreet Singh Nurpuri (Sr. Manager Sales)</t>
  </si>
  <si>
    <t xml:space="preserve">EMP-0307</t>
  </si>
  <si>
    <t xml:space="preserve">Aashish</t>
  </si>
  <si>
    <t xml:space="preserve">AM-Sales</t>
  </si>
  <si>
    <t xml:space="preserve">Aashish (AM-Sales)</t>
  </si>
  <si>
    <t xml:space="preserve">EMP-0308</t>
  </si>
  <si>
    <t xml:space="preserve">Amit Bhaskar</t>
  </si>
  <si>
    <t xml:space="preserve">Manager Sales</t>
  </si>
  <si>
    <t xml:space="preserve">Amit Bhaskar (Manager Sales)</t>
  </si>
  <si>
    <t xml:space="preserve">EMP-0309</t>
  </si>
  <si>
    <t xml:space="preserve">Vikas Singh</t>
  </si>
  <si>
    <t xml:space="preserve">Vikas Singh (AM-Sales)</t>
  </si>
  <si>
    <t xml:space="preserve">POS-0310</t>
  </si>
  <si>
    <t xml:space="preserve">Head Insurance</t>
  </si>
  <si>
    <t xml:space="preserve">Insurance</t>
  </si>
  <si>
    <t xml:space="preserve">EMP-0311</t>
  </si>
  <si>
    <t xml:space="preserve">Amit Arvind Gala</t>
  </si>
  <si>
    <t xml:space="preserve">Sr. Territory Manager</t>
  </si>
  <si>
    <t xml:space="preserve">Amit Arvind Gala (Sr. Terriotary Manager</t>
  </si>
  <si>
    <t xml:space="preserve">EMP-0312</t>
  </si>
  <si>
    <t xml:space="preserve">Satish Shivaji</t>
  </si>
  <si>
    <t xml:space="preserve">Sr. Manager- Insurance Sales</t>
  </si>
  <si>
    <t xml:space="preserve">Satish Shivaji (Sr. Manager- Insurance Sales)</t>
  </si>
  <si>
    <t xml:space="preserve">EMP-0313</t>
  </si>
  <si>
    <t xml:space="preserve">Bhanu Dhareniya</t>
  </si>
  <si>
    <t xml:space="preserve">Manager:Insurance Sales</t>
  </si>
  <si>
    <t xml:space="preserve">Bhanu Dhareniya (Manager:Insurance Sales)</t>
  </si>
  <si>
    <t xml:space="preserve">EMP-0314</t>
  </si>
  <si>
    <t xml:space="preserve">Vikrant Sharma</t>
  </si>
  <si>
    <t xml:space="preserve">Sr. Manager-Insurance</t>
  </si>
  <si>
    <t xml:space="preserve">Vikrant Sharma (Sr. Manager-Insurance)</t>
  </si>
  <si>
    <t xml:space="preserve">EMP-0315</t>
  </si>
  <si>
    <t xml:space="preserve">Dheeraj Dhiwan</t>
  </si>
  <si>
    <t xml:space="preserve">Director</t>
  </si>
  <si>
    <t xml:space="preserve">Admin</t>
  </si>
  <si>
    <t xml:space="preserve">Dheeraj Dhiwan (Director)</t>
  </si>
  <si>
    <t xml:space="preserve">EMP-0316</t>
  </si>
  <si>
    <t xml:space="preserve">Manav Vohra</t>
  </si>
  <si>
    <t xml:space="preserve">Admin Manager</t>
  </si>
  <si>
    <t xml:space="preserve">Manav Vohra (Admin Manager)</t>
  </si>
  <si>
    <t xml:space="preserve">EMP-0317</t>
  </si>
  <si>
    <t xml:space="preserve">Talwinder Singh</t>
  </si>
  <si>
    <t xml:space="preserve">Admin Assistant</t>
  </si>
  <si>
    <t xml:space="preserve">Talwinder Singh (Admin Assistant)</t>
  </si>
  <si>
    <t xml:space="preserve">EMP-0318</t>
  </si>
  <si>
    <t xml:space="preserve">Vinod Gupta</t>
  </si>
  <si>
    <t xml:space="preserve">Vinod Gupta (Admin Assistant)</t>
  </si>
  <si>
    <t xml:space="preserve">EMP-0319</t>
  </si>
  <si>
    <t xml:space="preserve">Manu Partap</t>
  </si>
  <si>
    <t xml:space="preserve">AM- Admin</t>
  </si>
  <si>
    <t xml:space="preserve">Manu Partap (AM- Admin)</t>
  </si>
  <si>
    <t xml:space="preserve">EMP-0320</t>
  </si>
  <si>
    <t xml:space="preserve">Shiv Parsad</t>
  </si>
  <si>
    <t xml:space="preserve">Shiv Parsad (Admin Assistant)</t>
  </si>
  <si>
    <t xml:space="preserve">POS-0321</t>
  </si>
  <si>
    <t xml:space="preserve">Department Head (not named in chart)</t>
  </si>
  <si>
    <t xml:space="preserve">Front Desk</t>
  </si>
  <si>
    <t xml:space="preserve">EMP-0322</t>
  </si>
  <si>
    <t xml:space="preserve">Adeeba Khan</t>
  </si>
  <si>
    <t xml:space="preserve">Adeeba Khan (Team Lead)</t>
  </si>
  <si>
    <t xml:space="preserve">EMP-0323</t>
  </si>
  <si>
    <t xml:space="preserve">FOE</t>
  </si>
  <si>
    <t xml:space="preserve">Name shared with another record - confirm identity; Single name only - add surname; Chart text malformed (fixed)</t>
  </si>
  <si>
    <t xml:space="preserve">Muskan (FOE))</t>
  </si>
  <si>
    <t xml:space="preserve">Name</t>
  </si>
  <si>
    <t xml:space="preserve">Likely same person?</t>
  </si>
  <si>
    <t xml:space="preserve">Resolution (fill)</t>
  </si>
  <si>
    <t xml:space="preserve">No - different role/department</t>
  </si>
  <si>
    <t xml:space="preserve">Possibly duplicate entry</t>
  </si>
  <si>
    <t xml:space="preserve">Head Record ID</t>
  </si>
  <si>
    <t xml:space="preserve">Head</t>
  </si>
  <si>
    <t xml:space="preserve">Headcount (employees)</t>
  </si>
  <si>
    <t xml:space="preserve">Vacant Positions</t>
  </si>
  <si>
    <t xml:space="preserve">Proposed Category</t>
  </si>
  <si>
    <t xml:space="preserve">Tracker Name Aliases</t>
  </si>
  <si>
    <t xml:space="preserve">Notes</t>
  </si>
  <si>
    <t xml:space="preserve">Core Revenue</t>
  </si>
  <si>
    <t xml:space="preserve">Direct revenue targets.</t>
  </si>
  <si>
    <t xml:space="preserve">Insurance sales targets.</t>
  </si>
  <si>
    <t xml:space="preserve">Sales sub-team is Core Revenue; Credit, Collection and Ops sub-teams should be overridden to Revenue-Enabling at team level.</t>
  </si>
  <si>
    <t xml:space="preserve">Sales team = Core Revenue; CS team overridden to Customer Service.</t>
  </si>
  <si>
    <t xml:space="preserve">Revenue-Enabling</t>
  </si>
  <si>
    <t xml:space="preserve">Delivery on time is the primary measure.</t>
  </si>
  <si>
    <t xml:space="preserve">Operations; Back ofc &amp; Operations</t>
  </si>
  <si>
    <t xml:space="preserve">Dealer sub-team may be moved to Core Revenue if dealers carry brokerage targets.</t>
  </si>
  <si>
    <t xml:space="preserve">Compliance is the core output, so the 20% compliance weight fits.</t>
  </si>
  <si>
    <t xml:space="preserve">Acquisition/brand targets feed Achievement %.</t>
  </si>
  <si>
    <t xml:space="preserve">Customer Service (new)</t>
  </si>
  <si>
    <t xml:space="preserve">Customer Support</t>
  </si>
  <si>
    <t xml:space="preserve">CSAT is the primary measure; no original category weighted it correctly.</t>
  </si>
  <si>
    <t xml:space="preserve">Support</t>
  </si>
  <si>
    <t xml:space="preserve">IT / Tech</t>
  </si>
  <si>
    <t xml:space="preserve">Human Resources; Learning &amp; Development</t>
  </si>
  <si>
    <t xml:space="preserve">L&amp;D is a sub-team under HR.</t>
  </si>
  <si>
    <t xml:space="preserve">Finance</t>
  </si>
  <si>
    <t xml:space="preserve">No head named in chart.</t>
  </si>
  <si>
    <t xml:space="preserve">Total</t>
  </si>
  <si>
    <t xml:space="preserve">Note: Pawan Kumar (EMP-0109) heads Demat, Operations &amp; BO and Compliance, and the Managing Director heads Product and AI, so the same head ID appears more than once. Headcount counts rows per department; a person who appears in two department charts is counted in both.</t>
  </si>
  <si>
    <t xml:space="preserve">Metric</t>
  </si>
  <si>
    <t xml:space="preserve">Change vs R&amp;R_Parameters_2</t>
  </si>
  <si>
    <t xml:space="preserve">On-Time Rate</t>
  </si>
  <si>
    <t xml:space="preserve">Achievement %</t>
  </si>
  <si>
    <t xml:space="preserve">CSAT</t>
  </si>
  <si>
    <t xml:space="preserve">Quality</t>
  </si>
  <si>
    <t xml:space="preserve">Productivity</t>
  </si>
  <si>
    <t xml:space="preserve">Defined but unweighted in all categories; used as an R&amp;R tie-breaker and award input. Set a weight here to activate it.</t>
  </si>
  <si>
    <t xml:space="preserve">Collaboration</t>
  </si>
  <si>
    <t xml:space="preserve">"Culture" in Core Revenue is mapped to Collaboration (Culture was never defined).</t>
  </si>
  <si>
    <t xml:space="preserve">Innovation &amp; Process Improvement</t>
  </si>
  <si>
    <t xml:space="preserve">Total (must be 100%)</t>
  </si>
  <si>
    <t xml:space="preserve">Check</t>
  </si>
  <si>
    <t xml:space="preserve">The 60% Quantifiable / 40% Qualitative split in R_R_Parameters_2 is retired: its listed sub-weights summed to 75-100% and 50-65%. Category weights above are the single source of truth. Customer Service is a proposed new category and needs management approval.</t>
  </si>
  <si>
    <t xml:space="preserve">Src Row</t>
  </si>
  <si>
    <t xml:space="preserve">Project ID</t>
  </si>
  <si>
    <t xml:space="preserve">Project</t>
  </si>
  <si>
    <t xml:space="preserve">Task ID</t>
  </si>
  <si>
    <t xml:space="preserve">Task / Deliverable</t>
  </si>
  <si>
    <t xml:space="preserve">Assignee (as typed)</t>
  </si>
  <si>
    <t xml:space="preserve">Emp ID</t>
  </si>
  <si>
    <t xml:space="preserve">Assignee (resolved)</t>
  </si>
  <si>
    <t xml:space="preserve">Match Note</t>
  </si>
  <si>
    <t xml:space="preserve">Assignment Role</t>
  </si>
  <si>
    <t xml:space="preserve">Contribution %</t>
  </si>
  <si>
    <t xml:space="preserve">Project Owner</t>
  </si>
  <si>
    <t xml:space="preserve">Priority</t>
  </si>
  <si>
    <t xml:space="preserve">Start Date</t>
  </si>
  <si>
    <t xml:space="preserve">Target Date</t>
  </si>
  <si>
    <t xml:space="preserve">Completed Date</t>
  </si>
  <si>
    <t xml:space="preserve">Original Status</t>
  </si>
  <si>
    <t xml:space="preserve">Mapped Status</t>
  </si>
  <si>
    <t xml:space="preserve">Timing (auto)</t>
  </si>
  <si>
    <t xml:space="preserve">Blocker Type</t>
  </si>
  <si>
    <t xml:space="preserve">Delay Reason</t>
  </si>
  <si>
    <t xml:space="preserve">Validated?</t>
  </si>
  <si>
    <t xml:space="preserve">Excludable if Late?</t>
  </si>
  <si>
    <t xml:space="preserve">On-Time Eligible (auto)</t>
  </si>
  <si>
    <t xml:space="preserve">Data Quality Flags</t>
  </si>
  <si>
    <t xml:space="preserve">PRJ-001</t>
  </si>
  <si>
    <t xml:space="preserve">Loan Changes (Advance Salary)</t>
  </si>
  <si>
    <t xml:space="preserve">PRJ-001-T01</t>
  </si>
  <si>
    <t xml:space="preserve">Context: UI/UX under Pradeep Thakur</t>
  </si>
  <si>
    <t xml:space="preserve">Owner</t>
  </si>
  <si>
    <t xml:space="preserve">High</t>
  </si>
  <si>
    <t xml:space="preserve">Completed</t>
  </si>
  <si>
    <t xml:space="preserve">PRJ-002</t>
  </si>
  <si>
    <t xml:space="preserve">Trade.Shoonya Global Dashboard (Corporate actions)</t>
  </si>
  <si>
    <t xml:space="preserve">PRJ-002-T01</t>
  </si>
  <si>
    <t xml:space="preserve">PRJ-003</t>
  </si>
  <si>
    <t xml:space="preserve">Mobile-Trade.Shoonya Global Dashboard (Corporate actions)</t>
  </si>
  <si>
    <t xml:space="preserve">PRJ-003-T01</t>
  </si>
  <si>
    <t xml:space="preserve">PRJ-004</t>
  </si>
  <si>
    <t xml:space="preserve">Shoonya R&amp;R</t>
  </si>
  <si>
    <t xml:space="preserve">PRJ-004-T01</t>
  </si>
  <si>
    <t xml:space="preserve">On Hold</t>
  </si>
  <si>
    <t xml:space="preserve">Management reprioritisation</t>
  </si>
  <si>
    <t xml:space="preserve">Working on MF</t>
  </si>
  <si>
    <t xml:space="preserve">Yes</t>
  </si>
  <si>
    <t xml:space="preserve">Has completed date but status is On Hold; Completed date kept for reference; not counted as completed</t>
  </si>
  <si>
    <t xml:space="preserve">PRJ-005</t>
  </si>
  <si>
    <t xml:space="preserve">Trade Shoonya: Dark theme</t>
  </si>
  <si>
    <t xml:space="preserve">PRJ-005-T01</t>
  </si>
  <si>
    <t xml:space="preserve">Medium</t>
  </si>
  <si>
    <t xml:space="preserve">Working on R&amp;R and MF</t>
  </si>
  <si>
    <t xml:space="preserve">PRJ-006</t>
  </si>
  <si>
    <t xml:space="preserve">Jumpp R&amp;R</t>
  </si>
  <si>
    <t xml:space="preserve">PRJ-006-T01</t>
  </si>
  <si>
    <t xml:space="preserve">In Review</t>
  </si>
  <si>
    <t xml:space="preserve">Rework (own team feedback)</t>
  </si>
  <si>
    <t xml:space="preserve">Inernal feedback incorporated</t>
  </si>
  <si>
    <t xml:space="preserve">No</t>
  </si>
  <si>
    <t xml:space="preserve">PRJ-007</t>
  </si>
  <si>
    <t xml:space="preserve">Rewards Journey UI (Milestones or Campaign)</t>
  </si>
  <si>
    <t xml:space="preserve">PRJ-007-T01</t>
  </si>
  <si>
    <t xml:space="preserve">Has completed date but status is In Review; Completed date kept for reference; not counted as completed</t>
  </si>
  <si>
    <t xml:space="preserve">PRJ-008</t>
  </si>
  <si>
    <t xml:space="preserve">Digital Silver</t>
  </si>
  <si>
    <t xml:space="preserve">PRJ-008-T01</t>
  </si>
  <si>
    <t xml:space="preserve">Maninder</t>
  </si>
  <si>
    <t xml:space="preserve">Context: Sr. UI/UX (not the SEO Maninder Singh)</t>
  </si>
  <si>
    <t xml:space="preserve">PRJ-009</t>
  </si>
  <si>
    <t xml:space="preserve">Digital Silver SIP</t>
  </si>
  <si>
    <t xml:space="preserve">PRJ-009-T01</t>
  </si>
  <si>
    <t xml:space="preserve">PRJ-010</t>
  </si>
  <si>
    <t xml:space="preserve">Digital Gold SIP</t>
  </si>
  <si>
    <t xml:space="preserve">PRJ-010-T01</t>
  </si>
  <si>
    <t xml:space="preserve">PRJ-011</t>
  </si>
  <si>
    <t xml:space="preserve">Physical Silver</t>
  </si>
  <si>
    <t xml:space="preserve">PRJ-011-T01</t>
  </si>
  <si>
    <t xml:space="preserve">PRJ-012</t>
  </si>
  <si>
    <t xml:space="preserve">Physical Gold</t>
  </si>
  <si>
    <t xml:space="preserve">PRJ-012-T01</t>
  </si>
  <si>
    <t xml:space="preserve">PRJ-013</t>
  </si>
  <si>
    <t xml:space="preserve">Jumpp Website 1.1</t>
  </si>
  <si>
    <t xml:space="preserve">PRJ-013-T01</t>
  </si>
  <si>
    <t xml:space="preserve">Internal dependency (other team review)</t>
  </si>
  <si>
    <t xml:space="preserve">DM team feedbacks</t>
  </si>
  <si>
    <t xml:space="preserve">PRJ-014</t>
  </si>
  <si>
    <t xml:space="preserve">Insurance Chatbot</t>
  </si>
  <si>
    <t xml:space="preserve">PRJ-014-T01</t>
  </si>
  <si>
    <t xml:space="preserve">Ongoing</t>
  </si>
  <si>
    <t xml:space="preserve">In Progress</t>
  </si>
  <si>
    <t xml:space="preserve">PRJ-015</t>
  </si>
  <si>
    <t xml:space="preserve">Shoonya Website Enhancements</t>
  </si>
  <si>
    <t xml:space="preserve">PRJ-015-T01</t>
  </si>
  <si>
    <t xml:space="preserve">Due to jUMPP task</t>
  </si>
  <si>
    <t xml:space="preserve">PRJ-016</t>
  </si>
  <si>
    <t xml:space="preserve">Onboarding Pan Skip Transition History UI (Need to be updated)</t>
  </si>
  <si>
    <t xml:space="preserve">PRJ-016-T01</t>
  </si>
  <si>
    <t xml:space="preserve">PRJ-017</t>
  </si>
  <si>
    <t xml:space="preserve">SensAI</t>
  </si>
  <si>
    <t xml:space="preserve">PRJ-017-T01</t>
  </si>
  <si>
    <t xml:space="preserve">PRJ-018</t>
  </si>
  <si>
    <t xml:space="preserve">Shoonya Bonds- Entry points and graphics UI</t>
  </si>
  <si>
    <t xml:space="preserve">PRJ-018-T01</t>
  </si>
  <si>
    <t xml:space="preserve">Completed without completed date; Moved to In Review until completion date is recorded</t>
  </si>
  <si>
    <t xml:space="preserve">PRJ-019</t>
  </si>
  <si>
    <t xml:space="preserve">Shoonya MF</t>
  </si>
  <si>
    <t xml:space="preserve">PRJ-019-T01</t>
  </si>
  <si>
    <t xml:space="preserve">Requirement change</t>
  </si>
  <si>
    <t xml:space="preserve">Recived update requirement based on MF: API</t>
  </si>
  <si>
    <t xml:space="preserve">PRJ-020</t>
  </si>
  <si>
    <t xml:space="preserve">Algo Trading mobile app</t>
  </si>
  <si>
    <t xml:space="preserve">PRJ-020-T01</t>
  </si>
  <si>
    <t xml:space="preserve">PRJ-021</t>
  </si>
  <si>
    <t xml:space="preserve">App Tour</t>
  </si>
  <si>
    <t xml:space="preserve">PRJ-021-T01</t>
  </si>
  <si>
    <t xml:space="preserve">PRJ-022</t>
  </si>
  <si>
    <t xml:space="preserve">Widgets</t>
  </si>
  <si>
    <t xml:space="preserve">PRJ-022-T01</t>
  </si>
  <si>
    <t xml:space="preserve">PRJ-023</t>
  </si>
  <si>
    <t xml:space="preserve">MTF Interest Charges updated</t>
  </si>
  <si>
    <t xml:space="preserve">PRJ-023-T01</t>
  </si>
  <si>
    <t xml:space="preserve">MTF Interest Rate changes in KORP</t>
  </si>
  <si>
    <t xml:space="preserve">Vinay</t>
  </si>
  <si>
    <t xml:space="preserve">Context: Ops Executive</t>
  </si>
  <si>
    <t xml:space="preserve">Pawan</t>
  </si>
  <si>
    <t xml:space="preserve">Delayed</t>
  </si>
  <si>
    <t xml:space="preserve">Blocked</t>
  </si>
  <si>
    <t xml:space="preserve">Internal dependency (Product/Development)</t>
  </si>
  <si>
    <t xml:space="preserve">Product team Delay</t>
  </si>
  <si>
    <t xml:space="preserve">"Delayed" is now derived from dates, not a status</t>
  </si>
  <si>
    <t xml:space="preserve">PRJ-024</t>
  </si>
  <si>
    <t xml:space="preserve">Bond</t>
  </si>
  <si>
    <t xml:space="preserve">PRJ-024-T01</t>
  </si>
  <si>
    <t xml:space="preserve">Bond Back office intigration with Exchnages</t>
  </si>
  <si>
    <t xml:space="preserve">Context: AVP-Operations (not the Software Engineer)</t>
  </si>
  <si>
    <t xml:space="preserve">Product team working</t>
  </si>
  <si>
    <t xml:space="preserve">Target date missing</t>
  </si>
  <si>
    <t xml:space="preserve">PRJ-025</t>
  </si>
  <si>
    <t xml:space="preserve">Refer and Reward</t>
  </si>
  <si>
    <t xml:space="preserve">PRJ-025-T01</t>
  </si>
  <si>
    <t xml:space="preserve">for new client refer reward in KORP</t>
  </si>
  <si>
    <t xml:space="preserve">pawan</t>
  </si>
  <si>
    <t xml:space="preserve">PRJ-026</t>
  </si>
  <si>
    <t xml:space="preserve">Account opening journey with (AI) incorporation</t>
  </si>
  <si>
    <t xml:space="preserve">PRJ-026-T01</t>
  </si>
  <si>
    <t xml:space="preserve">New account opening journey with (AI) incorporation</t>
  </si>
  <si>
    <t xml:space="preserve">Vivek</t>
  </si>
  <si>
    <t xml:space="preserve">Exact first-name match in Ops &amp; BO</t>
  </si>
  <si>
    <t xml:space="preserve">launch of p2 delayed this project</t>
  </si>
  <si>
    <t xml:space="preserve">Target date missing; Completed date is in the future; Has completed date but status is Delayed; "Delayed" is now derived from dates, not a status</t>
  </si>
  <si>
    <t xml:space="preserve">Jaidev</t>
  </si>
  <si>
    <t xml:space="preserve">Spelling differs (Jaidev vs Jai Dev)</t>
  </si>
  <si>
    <t xml:space="preserve">PRJ-027</t>
  </si>
  <si>
    <t xml:space="preserve">(AI) integrated Module for Prism Dashboard (BO)</t>
  </si>
  <si>
    <t xml:space="preserve">PRJ-027-T01</t>
  </si>
  <si>
    <t xml:space="preserve">BO Daily MIS</t>
  </si>
  <si>
    <t xml:space="preserve">Kanav</t>
  </si>
  <si>
    <t xml:space="preserve">Exact first-name match</t>
  </si>
  <si>
    <t xml:space="preserve">Akash</t>
  </si>
  <si>
    <t xml:space="preserve">Probable: Akashdeep (BO Team Lead) - confirm</t>
  </si>
  <si>
    <t xml:space="preserve">PRJ-028</t>
  </si>
  <si>
    <t xml:space="preserve">Quick Pledge/Unpledge</t>
  </si>
  <si>
    <t xml:space="preserve">PRJ-028-T01</t>
  </si>
  <si>
    <t xml:space="preserve">Auto process for Pledge/Unpledge</t>
  </si>
  <si>
    <t xml:space="preserve">Exact match</t>
  </si>
  <si>
    <t xml:space="preserve">Atul</t>
  </si>
  <si>
    <t xml:space="preserve">Context: reports to Yogesh (Demat)</t>
  </si>
  <si>
    <t xml:space="preserve">PRJ-029</t>
  </si>
  <si>
    <t xml:space="preserve">Buyback Feature Implementation</t>
  </si>
  <si>
    <t xml:space="preserve">PRJ-029-T01</t>
  </si>
  <si>
    <t xml:space="preserve">Auto process for Buyback</t>
  </si>
  <si>
    <t xml:space="preserve">PRJ-030</t>
  </si>
  <si>
    <t xml:space="preserve">SenS-AI 1.1 Enhancement</t>
  </si>
  <si>
    <t xml:space="preserve">PRJ-030-T01</t>
  </si>
  <si>
    <t xml:space="preserve">Development of Module in Mobile app</t>
  </si>
  <si>
    <t xml:space="preserve">Contributor</t>
  </si>
  <si>
    <t xml:space="preserve">due to an urgent requirement, we are releasing changes to MTF 3x the app is in review and once that app is released, we will publish SensAI</t>
  </si>
  <si>
    <t xml:space="preserve">Project owner missing; "Delayed" is now derived from dates, not a status; Multiple assignees in one cell - split; confirm owner and contribution %</t>
  </si>
  <si>
    <t xml:space="preserve">Jaspreet</t>
  </si>
  <si>
    <t xml:space="preserve">Jatin</t>
  </si>
  <si>
    <t xml:space="preserve">Aryan</t>
  </si>
  <si>
    <t xml:space="preserve">sumit roy</t>
  </si>
  <si>
    <t xml:space="preserve">PRJ-031</t>
  </si>
  <si>
    <t xml:space="preserve">fno Edge</t>
  </si>
  <si>
    <t xml:space="preserve">PRJ-031-T01</t>
  </si>
  <si>
    <t xml:space="preserve">integration of fnoedge sdk</t>
  </si>
  <si>
    <t xml:space="preserve">sumit kumar</t>
  </si>
  <si>
    <t xml:space="preserve">Project owner missing; Completed without completed date; Moved to In Review until completion date is recorded; Multiple assignees in one cell - split; confirm owner and contribution %</t>
  </si>
  <si>
    <t xml:space="preserve">tushar</t>
  </si>
  <si>
    <t xml:space="preserve">PRJ-032</t>
  </si>
  <si>
    <t xml:space="preserve">Automating the current PRISM process</t>
  </si>
  <si>
    <t xml:space="preserve">PRJ-032-T01</t>
  </si>
  <si>
    <t xml:space="preserve">automating the onboarding process by ingrating AI APIs</t>
  </si>
  <si>
    <t xml:space="preserve">Project owner missing; Multiple assignees in one cell - split; confirm owner and contribution %</t>
  </si>
  <si>
    <t xml:space="preserve">Probable: Ankit (Software Engineer, Product) - 2 records named Ankit</t>
  </si>
  <si>
    <t xml:space="preserve">Manisha</t>
  </si>
  <si>
    <t xml:space="preserve">PRJ-033</t>
  </si>
  <si>
    <t xml:space="preserve">MTF Margin increase</t>
  </si>
  <si>
    <t xml:space="preserve">PRJ-033-T01</t>
  </si>
  <si>
    <t xml:space="preserve">content changes to web page &amp; Mobile apps</t>
  </si>
  <si>
    <t xml:space="preserve">Ankit Grin</t>
  </si>
  <si>
    <t xml:space="preserve">NOT IN ORG CHART - add to master</t>
  </si>
  <si>
    <t xml:space="preserve">Project owner missing; Multiple assignees in one cell - split; confirm owner and contribution %; Assignee not in org chart</t>
  </si>
  <si>
    <t xml:space="preserve">PRJ-034</t>
  </si>
  <si>
    <t xml:space="preserve">Build API / Algo Trading landing page (Shoonya)</t>
  </si>
  <si>
    <t xml:space="preserve">PRJ-034-T01</t>
  </si>
  <si>
    <t xml:space="preserve">development of web page in shoonya website</t>
  </si>
  <si>
    <t xml:space="preserve">Project owner missing; "Delayed" is now derived from dates, not a status; Multiple assignees in one cell - split; confirm owner and contribution %; Assignee not in org chart</t>
  </si>
  <si>
    <t xml:space="preserve">PRJ-035</t>
  </si>
  <si>
    <t xml:space="preserve">Backend will push market data as user attributes for all users, updated 4 times daily, enabling automated and broadcast push notifications</t>
  </si>
  <si>
    <t xml:space="preserve">PRJ-035-T01</t>
  </si>
  <si>
    <t xml:space="preserve">api integration for pushing the notifications</t>
  </si>
  <si>
    <t xml:space="preserve">Amandeep</t>
  </si>
  <si>
    <t xml:space="preserve">PRJ-036</t>
  </si>
  <si>
    <t xml:space="preserve">CRM Sourcing, Testing &amp; Implementation</t>
  </si>
  <si>
    <t xml:space="preserve">PRJ-036-T01</t>
  </si>
  <si>
    <t xml:space="preserve">Sourcing; KPI setup; dashboards;</t>
  </si>
  <si>
    <t xml:space="preserve">Priority missing (mandatory); Open &gt; 6 months - review; Multiple assignees in one cell - split; confirm owner and contribution %</t>
  </si>
  <si>
    <t xml:space="preserve">Adity Chhiba</t>
  </si>
  <si>
    <t xml:space="preserve">Spelling differs (Chhiba vs Chiba)</t>
  </si>
  <si>
    <t xml:space="preserve">PRJ-036-T02</t>
  </si>
  <si>
    <t xml:space="preserve">CSAT optimization; bot integration;</t>
  </si>
  <si>
    <t xml:space="preserve">Target date missing; Priority missing (mandatory); Open &gt; 6 months - review; Multiple assignees in one cell - split; confirm owner and contribution %</t>
  </si>
  <si>
    <t xml:space="preserve">PRJ-036-T03</t>
  </si>
  <si>
    <t xml:space="preserve">APIs; CRM implementation; channel-wise RTM</t>
  </si>
  <si>
    <t xml:space="preserve">PRJ-037</t>
  </si>
  <si>
    <t xml:space="preserve">AI Bots Testing &amp; Implementation</t>
  </si>
  <si>
    <t xml:space="preserve">PRJ-037-T01</t>
  </si>
  <si>
    <t xml:space="preserve">Calling bot; chat bot; email bot; FAQs;</t>
  </si>
  <si>
    <t xml:space="preserve">Target date missing; Priority missing (mandatory); Multiple assignees in one cell - split; confirm owner and contribution %</t>
  </si>
  <si>
    <t xml:space="preserve">PRJ-037-T02</t>
  </si>
  <si>
    <t xml:space="preserve">BRDs and documentation; database upload;</t>
  </si>
  <si>
    <t xml:space="preserve">PRJ-037-T03</t>
  </si>
  <si>
    <t xml:space="preserve">final implementation sign-off</t>
  </si>
  <si>
    <t xml:space="preserve">PRJ-038</t>
  </si>
  <si>
    <t xml:space="preserve">AI Triage Process</t>
  </si>
  <si>
    <t xml:space="preserve">PRJ-038-T01</t>
  </si>
  <si>
    <t xml:space="preserve">Process creation; phased testing; sign-off;</t>
  </si>
  <si>
    <t xml:space="preserve">PRJ-038-T02</t>
  </si>
  <si>
    <t xml:space="preserve">phased implementation across contact drivers</t>
  </si>
  <si>
    <t xml:space="preserve">PRJ-039</t>
  </si>
  <si>
    <t xml:space="preserve">QA &amp; ATA Audit Platform</t>
  </si>
  <si>
    <t xml:space="preserve">PRJ-039-T01</t>
  </si>
  <si>
    <t xml:space="preserve">QA audit portal; ATA portal;</t>
  </si>
  <si>
    <t xml:space="preserve">Not Started</t>
  </si>
  <si>
    <t xml:space="preserve">PRJ-039-T02</t>
  </si>
  <si>
    <t xml:space="preserve">Database testing; dashboards;</t>
  </si>
  <si>
    <t xml:space="preserve">PRJ-039-T03</t>
  </si>
  <si>
    <t xml:space="preserve">agent feedback emails; dispute framework and portal</t>
  </si>
  <si>
    <t xml:space="preserve">PRJ-040</t>
  </si>
  <si>
    <t xml:space="preserve">CSAT &amp; ACPT Audit and Reporting Platform</t>
  </si>
  <si>
    <t xml:space="preserve">PRJ-040-T01</t>
  </si>
  <si>
    <t xml:space="preserve">CSAT data lake testing</t>
  </si>
  <si>
    <t xml:space="preserve">Adity</t>
  </si>
  <si>
    <t xml:space="preserve">First name only</t>
  </si>
  <si>
    <t xml:space="preserve">PRJ-040-T02</t>
  </si>
  <si>
    <t xml:space="preserve">ACPT portal; ATA for ACPT</t>
  </si>
  <si>
    <t xml:space="preserve">PRJ-040-T03</t>
  </si>
  <si>
    <t xml:space="preserve">automated WTD and MTD reporting</t>
  </si>
  <si>
    <t xml:space="preserve">PRJ-041</t>
  </si>
  <si>
    <t xml:space="preserve">Training Portal &amp; Executive CSAT Reporting</t>
  </si>
  <si>
    <t xml:space="preserve">PRJ-041-T01</t>
  </si>
  <si>
    <t xml:space="preserve">Training and tests portal</t>
  </si>
  <si>
    <t xml:space="preserve">PRJ-041-T02</t>
  </si>
  <si>
    <t xml:space="preserve">Session recording; coverage emails</t>
  </si>
  <si>
    <t xml:space="preserve">PRJ-041-T03</t>
  </si>
  <si>
    <t xml:space="preserve">Executive CSAT dashboards</t>
  </si>
  <si>
    <t xml:space="preserve">PRJ-042</t>
  </si>
  <si>
    <t xml:space="preserve">Mutual Fund mandate issue</t>
  </si>
  <si>
    <t xml:space="preserve">PRJ-042-T01</t>
  </si>
  <si>
    <t xml:space="preserve">Design, Testing</t>
  </si>
  <si>
    <t xml:space="preserve">Target date missing; Priority missing (mandatory); Open &gt; 6 months - review</t>
  </si>
  <si>
    <t xml:space="preserve">PRJ-042-T02</t>
  </si>
  <si>
    <t xml:space="preserve">Co-ordination with product</t>
  </si>
  <si>
    <t xml:space="preserve">PRJ-042-T03</t>
  </si>
  <si>
    <t xml:space="preserve">Implementation sign off</t>
  </si>
  <si>
    <t xml:space="preserve">PRJ-043</t>
  </si>
  <si>
    <t xml:space="preserve">Multiple Issues in Enable Exchange KYC</t>
  </si>
  <si>
    <t xml:space="preserve">PRJ-043-T01</t>
  </si>
  <si>
    <t xml:space="preserve">PRJ-043-T02</t>
  </si>
  <si>
    <t xml:space="preserve">PRJ-043-T03</t>
  </si>
  <si>
    <t xml:space="preserve">PRJ-044</t>
  </si>
  <si>
    <t xml:space="preserve">Chart issues</t>
  </si>
  <si>
    <t xml:space="preserve">PRJ-044-T01</t>
  </si>
  <si>
    <t xml:space="preserve">PRJ-044-T02</t>
  </si>
  <si>
    <t xml:space="preserve">PRJ-044-T03</t>
  </si>
  <si>
    <t xml:space="preserve">PRJ-045</t>
  </si>
  <si>
    <t xml:space="preserve">Introduction of Time-Based Validity Order Types</t>
  </si>
  <si>
    <t xml:space="preserve">PRJ-045-T01</t>
  </si>
  <si>
    <t xml:space="preserve">Pending at development P2</t>
  </si>
  <si>
    <t xml:space="preserve">Target date was "-" - cleared; Target date missing; Priority missing (mandatory); Open &gt; 6 months - review; "Delayed" is now derived from dates, not a status; Multiple assignees in one cell - split; confirm owner and contribution %</t>
  </si>
  <si>
    <t xml:space="preserve">Aaina</t>
  </si>
  <si>
    <t xml:space="preserve">PRJ-045-T02</t>
  </si>
  <si>
    <t xml:space="preserve">PRJ-045-T03</t>
  </si>
  <si>
    <t xml:space="preserve">PRJ-046</t>
  </si>
  <si>
    <t xml:space="preserve">Incorrect update on App Store for Brokerage Charges</t>
  </si>
  <si>
    <t xml:space="preserve">PRJ-046-T01</t>
  </si>
  <si>
    <t xml:space="preserve">Target date was "-" - cleared; Target date missing; Priority missing (mandatory); Open &gt; 6 months - review; "Delayed" is now derived from dates, not a status</t>
  </si>
  <si>
    <t xml:space="preserve">PRJ-046-T02</t>
  </si>
  <si>
    <t xml:space="preserve">PRJ-046-T03</t>
  </si>
  <si>
    <t xml:space="preserve">PRJ-047</t>
  </si>
  <si>
    <t xml:space="preserve">Daily &amp; Monthly PNL Report</t>
  </si>
  <si>
    <t xml:space="preserve">PRJ-047-T01</t>
  </si>
  <si>
    <t xml:space="preserve">PRJ-047-T02</t>
  </si>
  <si>
    <t xml:space="preserve">PRJ-047-T03</t>
  </si>
  <si>
    <t xml:space="preserve">PRJ-048</t>
  </si>
  <si>
    <t xml:space="preserve">Frequency is not available for Mutual fund SIP</t>
  </si>
  <si>
    <t xml:space="preserve">PRJ-048-T01</t>
  </si>
  <si>
    <t xml:space="preserve">Technical issue</t>
  </si>
  <si>
    <t xml:space="preserve">Frequecy option NA during weekends</t>
  </si>
  <si>
    <t xml:space="preserve">Target date missing; Priority missing (mandatory); Open &gt; 6 months - review; "Delayed" is now derived from dates, not a status</t>
  </si>
  <si>
    <t xml:space="preserve">PRJ-048-T02</t>
  </si>
  <si>
    <t xml:space="preserve">PRJ-048-T03</t>
  </si>
  <si>
    <t xml:space="preserve">PRJ-049</t>
  </si>
  <si>
    <t xml:space="preserve">Mismatch LTP on Shoonya - Options before 9.15am</t>
  </si>
  <si>
    <t xml:space="preserve">PRJ-049-T01</t>
  </si>
  <si>
    <t xml:space="preserve">Not a blocker - status note</t>
  </si>
  <si>
    <t xml:space="preserve">Target date missing; Priority missing (mandatory)</t>
  </si>
  <si>
    <t xml:space="preserve">PRJ-049-T02</t>
  </si>
  <si>
    <t xml:space="preserve">PRJ-049-T03</t>
  </si>
  <si>
    <t xml:space="preserve">PRJ-050</t>
  </si>
  <si>
    <t xml:space="preserve">EGR - EGR Segment Enablement on Shoonya Platform</t>
  </si>
  <si>
    <t xml:space="preserve">PRJ-050-T01</t>
  </si>
  <si>
    <t xml:space="preserve">PRJ-050-T02</t>
  </si>
  <si>
    <t xml:space="preserve">PRJ-050-T03</t>
  </si>
  <si>
    <t xml:space="preserve">PRJ-051</t>
  </si>
  <si>
    <t xml:space="preserve">Best Price Execution of Equity Trades</t>
  </si>
  <si>
    <t xml:space="preserve">PRJ-051-T01</t>
  </si>
  <si>
    <t xml:space="preserve">Target date missing; Priority missing (mandatory); Has completed date but status is Ongoing; Multiple assignees in one cell - split; confirm owner and contribution %</t>
  </si>
  <si>
    <t xml:space="preserve">Context: Client Support Team Lead (not Jaspal Kaur, jUMPP)</t>
  </si>
  <si>
    <t xml:space="preserve">PRJ-051-T02</t>
  </si>
  <si>
    <t xml:space="preserve">PRJ-051-T03</t>
  </si>
  <si>
    <t xml:space="preserve">PRJ-052</t>
  </si>
  <si>
    <t xml:space="preserve">BSE IPO – Users are continuously encountering issues intermittently over a period of time.</t>
  </si>
  <si>
    <t xml:space="preserve">PRJ-052-T01</t>
  </si>
  <si>
    <t xml:space="preserve">PRJ-052-T02</t>
  </si>
  <si>
    <t xml:space="preserve">PRJ-052-T03</t>
  </si>
  <si>
    <t xml:space="preserve">PRJ-053</t>
  </si>
  <si>
    <t xml:space="preserve">IOS - Auto logout</t>
  </si>
  <si>
    <t xml:space="preserve">PRJ-053-T01</t>
  </si>
  <si>
    <t xml:space="preserve">PRJ-053-T02</t>
  </si>
  <si>
    <t xml:space="preserve">PRJ-053-T03</t>
  </si>
  <si>
    <t xml:space="preserve">PRJ-054</t>
  </si>
  <si>
    <t xml:space="preserve">MF Redemption VIA e-DIS.</t>
  </si>
  <si>
    <t xml:space="preserve">PRJ-054-T01</t>
  </si>
  <si>
    <t xml:space="preserve">Issue with fractional quantity redemeption</t>
  </si>
  <si>
    <t xml:space="preserve">PRJ-054-T02</t>
  </si>
  <si>
    <t xml:space="preserve">PRJ-054-T03</t>
  </si>
  <si>
    <t xml:space="preserve">PRJ-055</t>
  </si>
  <si>
    <t xml:space="preserve">Shoonya Web Calculator – Incorrect Display of Shares Instead of Lots</t>
  </si>
  <si>
    <t xml:space="preserve">PRJ-055-T01</t>
  </si>
  <si>
    <t xml:space="preserve">No update from owner</t>
  </si>
  <si>
    <t xml:space="preserve">No update</t>
  </si>
  <si>
    <t xml:space="preserve">PRJ-055-T02</t>
  </si>
  <si>
    <t xml:space="preserve">PRJ-055-T03</t>
  </si>
  <si>
    <t xml:space="preserve">PRJ-056</t>
  </si>
  <si>
    <t xml:space="preserve">False Order Notifications on Shoonya</t>
  </si>
  <si>
    <t xml:space="preserve">PRJ-056-T01</t>
  </si>
  <si>
    <t xml:space="preserve">Target date was "-" - cleared; Target date missing; Priority missing (mandatory); Has completed date but status is Ongoing</t>
  </si>
  <si>
    <t xml:space="preserve">PRJ-056-T02</t>
  </si>
  <si>
    <t xml:space="preserve">PRJ-056-T03</t>
  </si>
  <si>
    <t xml:space="preserve">PRJ-057</t>
  </si>
  <si>
    <t xml:space="preserve">Prism 2 - Post P2 Go-Live – Feedback &amp; Issues</t>
  </si>
  <si>
    <t xml:space="preserve">PRJ-057-T01</t>
  </si>
  <si>
    <t xml:space="preserve">PRJ-057-T02</t>
  </si>
  <si>
    <t xml:space="preserve">PRJ-057-T03</t>
  </si>
  <si>
    <t xml:space="preserve">PRJ-058</t>
  </si>
  <si>
    <t xml:space="preserve">Live IB calls not landing</t>
  </si>
  <si>
    <t xml:space="preserve">PRJ-058-T01</t>
  </si>
  <si>
    <t xml:space="preserve">PRJ-058-T02</t>
  </si>
  <si>
    <t xml:space="preserve">PRJ-058-T03</t>
  </si>
  <si>
    <t xml:space="preserve">PRJ-059</t>
  </si>
  <si>
    <t xml:space="preserve">HDFC Transaction List not available</t>
  </si>
  <si>
    <t xml:space="preserve">PRJ-059-T01</t>
  </si>
  <si>
    <t xml:space="preserve">Pending with Development</t>
  </si>
  <si>
    <t xml:space="preserve">Target date was "-" - cleared; Target date missing; Priority missing (mandatory)</t>
  </si>
  <si>
    <t xml:space="preserve">PRJ-059-T02</t>
  </si>
  <si>
    <t xml:space="preserve">PRJ-059-T03</t>
  </si>
  <si>
    <t xml:space="preserve">PRJ-060</t>
  </si>
  <si>
    <t xml:space="preserve">MTF Activation Flow Revamp &amp; User Journey Enhancement</t>
  </si>
  <si>
    <t xml:space="preserve">PRJ-060-T01</t>
  </si>
  <si>
    <t xml:space="preserve">PRJ-060-T02</t>
  </si>
  <si>
    <t xml:space="preserve">PRJ-060-T03</t>
  </si>
  <si>
    <t xml:space="preserve">Assignment Rows</t>
  </si>
  <si>
    <t xml:space="preserve">Late/Overdue</t>
  </si>
  <si>
    <t xml:space="preserve">Missing Deadline</t>
  </si>
  <si>
    <t xml:space="preserve">Flags</t>
  </si>
  <si>
    <t xml:space="preserve">Set owner</t>
  </si>
  <si>
    <t xml:space="preserve">Set priority</t>
  </si>
  <si>
    <t xml:space="preserve">Assignments</t>
  </si>
  <si>
    <t xml:space="preserve">Eligible Completed</t>
  </si>
  <si>
    <t xml:space="preserve">Completed On Time</t>
  </si>
  <si>
    <t xml:space="preserve">Late (counted)</t>
  </si>
  <si>
    <t xml:space="preserve">Excluded (validated delay)</t>
  </si>
  <si>
    <t xml:space="preserve">Corrected On-Time Rate</t>
  </si>
  <si>
    <t xml:space="preserve">On-Time Score (0-100)</t>
  </si>
  <si>
    <t xml:space="preserve">Old Sheet "SLA/TAT" Value</t>
  </si>
  <si>
    <t xml:space="preserve">Why it changed</t>
  </si>
  <si>
    <t xml:space="preserve">Old sheet counted On Hold / In Review tasks that had a completed date (SensAI, Shoonya MF, Shoonya R&amp;R) and penalised the validated reprioritisation delay.</t>
  </si>
  <si>
    <t xml:space="preserve">Rewards Journey UI is still In Review, so it is not yet a completed task.</t>
  </si>
  <si>
    <t xml:space="preserve">Jumpp Website 1.1 is On Hold; it was counted as an on-time completion. No completed tasks remain, so the metric is Insufficient Data.</t>
  </si>
  <si>
    <t xml:space="preserve">Rules: eligible = Mapped Status Completed + target date + completed date. Late tasks with a validated, excludable blocker are removed from the denominator. Minimum 3 eligible tasks per period, else Insufficient Data (configurable). Score: 95%+ = 100; 75% = 60; linear between and below (floor 0) - replaces the old step bands where 74% scored 0.</t>
  </si>
  <si>
    <t xml:space="preserve">Template</t>
  </si>
  <si>
    <t xml:space="preserve">Step</t>
  </si>
  <si>
    <t xml:space="preserve">Stage (task)</t>
  </si>
  <si>
    <t xml:space="preserve">Depends on step</t>
  </si>
  <si>
    <t xml:space="preserve">Responsible (R) role</t>
  </si>
  <si>
    <t xml:space="preserve">Default R person</t>
  </si>
  <si>
    <t xml:space="preserve">R Emp ID</t>
  </si>
  <si>
    <t xml:space="preserve">Accountable (A) - exactly one</t>
  </si>
  <si>
    <t xml:space="preserve">A Emp ID</t>
  </si>
  <si>
    <t xml:space="preserve">Consulted (C)</t>
  </si>
  <si>
    <t xml:space="preserve">Informed (I)</t>
  </si>
  <si>
    <t xml:space="preserve">Checklist (acceptance criteria)</t>
  </si>
  <si>
    <t xml:space="preserve">Reviewer (validation owner)</t>
  </si>
  <si>
    <t xml:space="preserve">Review criteria</t>
  </si>
  <si>
    <t xml:space="preserve">Required evidence before submit</t>
  </si>
  <si>
    <t xml:space="preserve">SLA as written</t>
  </si>
  <si>
    <t xml:space="preserve">SLA target (business days)</t>
  </si>
  <si>
    <t xml:space="preserve">SLA max (business days)</t>
  </si>
  <si>
    <t xml:space="preserve">Effort min (hrs)</t>
  </si>
  <si>
    <t xml:space="preserve">Effort max (hrs)</t>
  </si>
  <si>
    <t xml:space="preserve">Mitigation</t>
  </si>
  <si>
    <t xml:space="preserve">Flags / to confirm</t>
  </si>
  <si>
    <t xml:space="preserve">Email campaign</t>
  </si>
  <si>
    <t xml:space="preserve">Campaign request initiation</t>
  </si>
  <si>
    <t xml:space="preserve">-</t>
  </si>
  <si>
    <t xml:space="preserve">Requesting department (Sales / RMS / Back office / CS / Operations / IT)</t>
  </si>
  <si>
    <t xml:space="preserve">Manager of requesting department</t>
  </si>
  <si>
    <t xml:space="preserve">(per request)</t>
  </si>
  <si>
    <t xml:space="preserve">Marketing POC: Mukesh Thakur</t>
  </si>
  <si>
    <t xml:space="preserve">Email execution: Naveen Kumar</t>
  </si>
  <si>
    <t xml:space="preserve">Define campaign objective; Specify target audience; Provide key messages; Share timeline requirements</t>
  </si>
  <si>
    <t xml:space="preserve">Manager of requesting department (sheet lists: Gurjot Sodhi - Sales, Kapil Abrol - CS, Pawan Kumar - Operations, Ayushman Dey - RMS, Vivek Sharma - Back office, Rajesh Gaddam - IT, Mukesh Thakur - Marketing)</t>
  </si>
  <si>
    <t xml:space="preserve">Request is complete; Fits the marketing calendar</t>
  </si>
  <si>
    <t xml:space="preserve">Email request form; Campaign brief document</t>
  </si>
  <si>
    <t xml:space="preserve">2-3 business days</t>
  </si>
  <si>
    <t xml:space="preserve">Assign a backup POC to avoid delays.</t>
  </si>
  <si>
    <t xml:space="preserve">Mukesh Thakur is not in the org chart. "Gurjot Sodhi" and "Rajesh Gaddam" do not match org-chart names (Gurjot Singh, AVP-Sales; Patel Rajesh, VP-IT) - confirm. Generic sheet lists Marketing POC as both A and I.</t>
  </si>
  <si>
    <t xml:space="preserve">Content creation</t>
  </si>
  <si>
    <t xml:space="preserve">Content team</t>
  </si>
  <si>
    <t xml:space="preserve">Requesting department</t>
  </si>
  <si>
    <t xml:space="preserve">Write email copy; Create subject lines; Draft preview text; Include CTA</t>
  </si>
  <si>
    <t xml:space="preserve">Content Manager: Miteeksha</t>
  </si>
  <si>
    <t xml:space="preserve">Matches the brief; Follows brand guidelines; Proofread</t>
  </si>
  <si>
    <t xml:space="preserve">Draft content document; Revision history</t>
  </si>
  <si>
    <t xml:space="preserve">Use a content checklist to ensure all requirements are met.</t>
  </si>
  <si>
    <t xml:space="preserve">Miteeksha is both the default R and the reviewer - the platform blocks self-review, so assign a different reviewer.</t>
  </si>
  <si>
    <t xml:space="preserve">Content approval</t>
  </si>
  <si>
    <t xml:space="preserve">Content team (routes for sign-off)</t>
  </si>
  <si>
    <t xml:space="preserve">Head of requesting department (resolved per request)</t>
  </si>
  <si>
    <t xml:space="preserve">Compliance team (if needed)</t>
  </si>
  <si>
    <t xml:space="preserve">Review content accuracy; Check messaging alignment; Verify compliance</t>
  </si>
  <si>
    <t xml:space="preserve">Head of requesting department</t>
  </si>
  <si>
    <t xml:space="preserve">Department sign-off; Compliance / legal approval; Regulator approval (TRAI or WhatsApp) where needed</t>
  </si>
  <si>
    <t xml:space="preserve">Approval email; Change requests</t>
  </si>
  <si>
    <t xml:space="preserve">1-2 business days</t>
  </si>
  <si>
    <t xml:space="preserve">Include a pre-approval review to minimise changes.</t>
  </si>
  <si>
    <t xml:space="preserve">Versions disagree: generic sheet says R = Marketing POC and C = Legal team; named sheet says R = Content team and C = Compliance team. A was "Requesting department" (a team) - must be one named person.</t>
  </si>
  <si>
    <t xml:space="preserve">HTML development</t>
  </si>
  <si>
    <t xml:space="preserve">HTML developer</t>
  </si>
  <si>
    <t xml:space="preserve">Marketing POC: Mukesh Thakur (proposed)</t>
  </si>
  <si>
    <t xml:space="preserve">Email execution team</t>
  </si>
  <si>
    <t xml:space="preserve">Content team; Marketing POC</t>
  </si>
  <si>
    <t xml:space="preserve">Code email template; Test responsive design; Optimise for email clients; Include tracking parameters</t>
  </si>
  <si>
    <t xml:space="preserve">Proposed: Marketing POC (sheet says HTML developer: Naveen Kumar)</t>
  </si>
  <si>
    <t xml:space="preserve">Cross-client testing; Mobile check; Link verification</t>
  </si>
  <si>
    <t xml:space="preserve">HTML files; Test screenshots</t>
  </si>
  <si>
    <t xml:space="preserve">Test templates on multiple devices and email clients before final approval.</t>
  </si>
  <si>
    <t xml:space="preserve">Named sheet makes Naveen Kumar R, A and reviewer - no independent check. Naveen Kumar matches two employees (EMP-0118 Digital Marketing, EMP-0204 RMS) - EMP-0118 assumed.</t>
  </si>
  <si>
    <t xml:space="preserve">Campaign setup and launch</t>
  </si>
  <si>
    <t xml:space="preserve">Requesting department; Marketing team</t>
  </si>
  <si>
    <t xml:space="preserve">Upload HTML; Import client list; Set up segmentation; Configure tracking; Schedule or launch campaign</t>
  </si>
  <si>
    <t xml:space="preserve">Proposed: Marketing POC (sheet says Campaign manager: Naveen Kumar)</t>
  </si>
  <si>
    <t xml:space="preserve">Test email send; Verify all links; Check personalisation; Validate list</t>
  </si>
  <si>
    <t xml:space="preserve">Test sends; Campaign settings; List verification report</t>
  </si>
  <si>
    <t xml:space="preserve">Conduct a dry run before the final launch to identify issues.</t>
  </si>
  <si>
    <t xml:space="preserve">Named sheet: Naveen Kumar is R, A, C and reviewer. Highest-risk step (Critical) has no independent check.</t>
  </si>
  <si>
    <t xml:space="preserve">Performance tracking</t>
  </si>
  <si>
    <t xml:space="preserve">Data analyst</t>
  </si>
  <si>
    <t xml:space="preserve">Requesting department; Marketing team; Stakeholders</t>
  </si>
  <si>
    <t xml:space="preserve">Monitor delivery rate; Track open rate; Analyse click rate; Record conversions</t>
  </si>
  <si>
    <t xml:space="preserve">Proposed: Data analyst or Marketing POC (sheet says Campaign manager: Naveen Kumar)</t>
  </si>
  <si>
    <t xml:space="preserve">Verify tracking setup; Check data accuracy</t>
  </si>
  <si>
    <t xml:space="preserve">Campaign analytics; Performance dashboard</t>
  </si>
  <si>
    <t xml:space="preserve">Ongoing (initial report 2 days post-launch)</t>
  </si>
  <si>
    <t xml:space="preserve">Use automated tools for real-time tracking and reporting.</t>
  </si>
  <si>
    <t xml:space="preserve">SLA covers the first report only; the cadence of later reports is not defined. Effort is per report.</t>
  </si>
  <si>
    <t xml:space="preserve">End-to-end total (if no step waits)</t>
  </si>
  <si>
    <t xml:space="preserve">Source: RACI.xlsx (visible "RACI Matrix" sheet with generic roles, and hidden "Sheet3" with named people). Default people come from the named version; conflicts are in the Flags column. Blue numbers are SLA/effort values taken from the source ranges (target = lower bound, max = upper bound).</t>
  </si>
  <si>
    <t xml:space="preserve">Risk ID</t>
  </si>
  <si>
    <t xml:space="preserve">Stage</t>
  </si>
  <si>
    <t xml:space="preserve">Risk</t>
  </si>
  <si>
    <t xml:space="preserve">Criticality</t>
  </si>
  <si>
    <t xml:space="preserve">Dependencies</t>
  </si>
  <si>
    <t xml:space="preserve">Assumptions</t>
  </si>
  <si>
    <t xml:space="preserve">Risk owner (Emp ID)</t>
  </si>
  <si>
    <t xml:space="preserve">Status</t>
  </si>
  <si>
    <t xml:space="preserve">Next review date</t>
  </si>
  <si>
    <t xml:space="preserve">RSK-001</t>
  </si>
  <si>
    <t xml:space="preserve">Incomplete requirements</t>
  </si>
  <si>
    <t xml:space="preserve">Marketing calendar available; Clear business objectives</t>
  </si>
  <si>
    <t xml:space="preserve">Requesting team has identified the target audience; Business case is justified</t>
  </si>
  <si>
    <t xml:space="preserve">Open</t>
  </si>
  <si>
    <t xml:space="preserve">RSK-002</t>
  </si>
  <si>
    <t xml:space="preserve">Unrealistic timelines</t>
  </si>
  <si>
    <t xml:space="preserve">RSK-003</t>
  </si>
  <si>
    <t xml:space="preserve">Misalignment with brand voice</t>
  </si>
  <si>
    <t xml:space="preserve">Complete brief from requesting department; Updated brand guidelines</t>
  </si>
  <si>
    <t xml:space="preserve">Content team has capacity; Brand guidelines are current</t>
  </si>
  <si>
    <t xml:space="preserve">RSK-004</t>
  </si>
  <si>
    <t xml:space="preserve">Subject-matter expertise gaps</t>
  </si>
  <si>
    <t xml:space="preserve">RSK-005</t>
  </si>
  <si>
    <t xml:space="preserve">Delayed approvals</t>
  </si>
  <si>
    <t xml:space="preserve">Content creation completed; Approvers available</t>
  </si>
  <si>
    <t xml:space="preserve">Department head has final say; Legal review not always required</t>
  </si>
  <si>
    <t xml:space="preserve">RSK-006</t>
  </si>
  <si>
    <t xml:space="preserve">Multiple revision cycles</t>
  </si>
  <si>
    <t xml:space="preserve">RSK-007</t>
  </si>
  <si>
    <t xml:space="preserve">Rendering issues in email clients</t>
  </si>
  <si>
    <t xml:space="preserve">Final approved content; Email template available</t>
  </si>
  <si>
    <t xml:space="preserve">HTML developer has required skills; Email-client list is up to date</t>
  </si>
  <si>
    <t xml:space="preserve">RSK-008</t>
  </si>
  <si>
    <t xml:space="preserve">Broken links or tracking</t>
  </si>
  <si>
    <t xml:space="preserve">RSK-009</t>
  </si>
  <si>
    <t xml:space="preserve">List quality issues</t>
  </si>
  <si>
    <t xml:space="preserve">Critical</t>
  </si>
  <si>
    <t xml:space="preserve">Completed HTML; Clean contact list; Approved content</t>
  </si>
  <si>
    <t xml:space="preserve">Email platform is functioning; Contact list is up to date</t>
  </si>
  <si>
    <t xml:space="preserve">RSK-010</t>
  </si>
  <si>
    <t xml:space="preserve">Technical platform errors</t>
  </si>
  <si>
    <t xml:space="preserve">RSK-011</t>
  </si>
  <si>
    <t xml:space="preserve">Tracking failures</t>
  </si>
  <si>
    <t xml:space="preserve">Low</t>
  </si>
  <si>
    <t xml:space="preserve">Tracking implemented correctly; Analytics platform working</t>
  </si>
  <si>
    <t xml:space="preserve">Tracking parameters are set correctly; Baseline metrics are established</t>
  </si>
  <si>
    <t xml:space="preserve">RSK-012</t>
  </si>
  <si>
    <t xml:space="preserve">Data interpretation errors</t>
  </si>
  <si>
    <t xml:space="preserve">Source: RACI.xlsx "Risks &amp; Mitigation Strategies". That sheet has no stage column, so risks are mapped to stages by row order (6 rows, 6 stages) - confirm. Each cell held two risks; they are split into one row each. Owner and review date are new fields to fill.</t>
  </si>
  <si>
    <t xml:space="preserve">RCA ID</t>
  </si>
  <si>
    <t xml:space="preserve">Incident title</t>
  </si>
  <si>
    <t xml:space="preserve">Product / system</t>
  </si>
  <si>
    <t xml:space="preserve">Incident date</t>
  </si>
  <si>
    <t xml:space="preserve">Received date</t>
  </si>
  <si>
    <t xml:space="preserve">Reported by</t>
  </si>
  <si>
    <t xml:space="preserve">Severity</t>
  </si>
  <si>
    <t xml:space="preserve">Clients impacted</t>
  </si>
  <si>
    <t xml:space="preserve">Orders impacted</t>
  </si>
  <si>
    <t xml:space="preserve">Root cause</t>
  </si>
  <si>
    <t xml:space="preserve">Root cause category</t>
  </si>
  <si>
    <t xml:space="preserve">Gap identified</t>
  </si>
  <si>
    <t xml:space="preserve">Correction action taken</t>
  </si>
  <si>
    <t xml:space="preserve">Correction completed on</t>
  </si>
  <si>
    <t xml:space="preserve">Preventive action</t>
  </si>
  <si>
    <t xml:space="preserve">Preventive action owner (Emp ID)</t>
  </si>
  <si>
    <t xml:space="preserve">Preventive action due date</t>
  </si>
  <si>
    <t xml:space="preserve">Responsible department</t>
  </si>
  <si>
    <t xml:space="preserve">Responsible stakeholder (Emp ID)</t>
  </si>
  <si>
    <t xml:space="preserve">Expected closure date</t>
  </si>
  <si>
    <t xml:space="preserve">Actual closure date</t>
  </si>
  <si>
    <t xml:space="preserve">Closure verified by (Emp ID)</t>
  </si>
  <si>
    <t xml:space="preserve">Repeat of RCA ID</t>
  </si>
  <si>
    <t xml:space="preserve">Individual attribution validated?</t>
  </si>
  <si>
    <t xml:space="preserve">Days open (auto)</t>
  </si>
  <si>
    <t xml:space="preserve">Closed on time? (auto)</t>
  </si>
  <si>
    <t xml:space="preserve">EXAMPLE - replace or delete: [incident title]</t>
  </si>
  <si>
    <t xml:space="preserve">[product / system]</t>
  </si>
  <si>
    <t xml:space="preserve">[name or Emp ID]</t>
  </si>
  <si>
    <t xml:space="preserve">[number]</t>
  </si>
  <si>
    <t xml:space="preserve">[what actually caused it]</t>
  </si>
  <si>
    <t xml:space="preserve">Process</t>
  </si>
  <si>
    <t xml:space="preserve">[which control or check was missing]</t>
  </si>
  <si>
    <t xml:space="preserve">[what was done to restore service]</t>
  </si>
  <si>
    <t xml:space="preserve">[what will stop it happening again]</t>
  </si>
  <si>
    <t xml:space="preserve">[Emp ID]</t>
  </si>
  <si>
    <t xml:space="preserve">Preventive action in progress</t>
  </si>
  <si>
    <t xml:space="preserve">#</t>
  </si>
  <si>
    <t xml:space="preserve">Source</t>
  </si>
  <si>
    <t xml:space="preserve">Area</t>
  </si>
  <si>
    <t xml:space="preserve">Issue</t>
  </si>
  <si>
    <t xml:space="preserve">Fix Applied / Rule Adopted</t>
  </si>
  <si>
    <t xml:space="preserve">Where Fixed</t>
  </si>
  <si>
    <t xml:space="preserve">R&amp;R Parameters</t>
  </si>
  <si>
    <t xml:space="preserve">Weights</t>
  </si>
  <si>
    <t xml:space="preserve">Quantifiable group stated as 60% but its sub-weights sum to 75-100%; Qualitative stated as 40% but sums to 50-65%.</t>
  </si>
  <si>
    <t xml:space="preserve">60/40 split retired. Team-category weights are the only weighting model; every category must total exactly 100% (validated on save).</t>
  </si>
  <si>
    <t xml:space="preserve">Spec 5.3; Category_Weights</t>
  </si>
  <si>
    <t xml:space="preserve">Metrics</t>
  </si>
  <si>
    <t xml:space="preserve">Core Revenue uses "Culture (10%)", which is not one of the 8 defined metrics.</t>
  </si>
  <si>
    <t xml:space="preserve">Culture mapped to the Collaboration metric (teamwork, knowledge sharing, conduct). Rubric in Spec 5.2.7.</t>
  </si>
  <si>
    <t xml:space="preserve">Spec 5.2.7; Category_Weights</t>
  </si>
  <si>
    <t xml:space="preserve">Productivity is defined but has 0% weight in every category; Innovation appears only in Support.</t>
  </si>
  <si>
    <t xml:space="preserve">Kept as configurable metrics. Productivity is used as an R&amp;R tie-breaker and award input until management assigns it a weight.</t>
  </si>
  <si>
    <t xml:space="preserve">Spec 5.3, 7.3</t>
  </si>
  <si>
    <t xml:space="preserve">CSAT has no column in the column definitions; it is folded into "Quality".</t>
  </si>
  <si>
    <t xml:space="preserve">CSAT is a separate metric with its own data source and minimum sample size; Quality no longer contains customer satisfaction.</t>
  </si>
  <si>
    <t xml:space="preserve">Spec 5.2.4</t>
  </si>
  <si>
    <t xml:space="preserve">Categories</t>
  </si>
  <si>
    <t xml:space="preserve">Client Support is measured mainly on CSAT, but CSAT is weighted only in Core Revenue.</t>
  </si>
  <si>
    <t xml:space="preserve">Proposed 4th category "Customer Service" (CSAT 30, Quality 25, On-Time 20, Achievement 15, Compliance 10) - pending approval.</t>
  </si>
  <si>
    <t xml:space="preserve">Spec 5.3; Departments</t>
  </si>
  <si>
    <t xml:space="preserve">Scoring</t>
  </si>
  <si>
    <t xml:space="preserve">On-Time bands have a cliff: 75-84% = 3.0 but 74% = 0.</t>
  </si>
  <si>
    <t xml:space="preserve">Continuous scoring: 95%+ = 100, 85% = 80, 75% = 60, linear between and below (floor 0). Matches every original anchor with no cliff.</t>
  </si>
  <si>
    <t xml:space="preserve">Spec 5.2.1; OnTime_Recalc</t>
  </si>
  <si>
    <t xml:space="preserve">Achievement: 100%+ already scores 5.0, so the 150% cap has no effect.</t>
  </si>
  <si>
    <t xml:space="preserve">Meeting target (100%) = 90; over-achievement earns the last 10 points up to the 150% cap = 100.</t>
  </si>
  <si>
    <t xml:space="preserve">Spec 5.2.2</t>
  </si>
  <si>
    <t xml:space="preserve">Productivity formula (Output / Team Avg x 5) gives 6.0 at 120%, contradicting its own band (120%+ = 5.0).</t>
  </si>
  <si>
    <t xml:space="preserve">Ratio-based curve capped at 100; weighted by task complexity and adjusted for available capacity; minimum team size 3.</t>
  </si>
  <si>
    <t xml:space="preserve">Spec 5.2.6</t>
  </si>
  <si>
    <t xml:space="preserve">Compliance scale stops at 3.0 (one medium incident); multiple or major incidents undefined.</t>
  </si>
  <si>
    <t xml:space="preserve">Deduction model: start 100, Minor -20, Medium -40, Major -100 per validated incident (floor 0).</t>
  </si>
  <si>
    <t xml:space="preserve">Spec 5.2.3</t>
  </si>
  <si>
    <t xml:space="preserve">Collaboration and Innovation rubrics define only levels 5 and 3.</t>
  </si>
  <si>
    <t xml:space="preserve">All five levels defined with evidence requirements; scores of 1, 2 and 5 need written evidence.</t>
  </si>
  <si>
    <t xml:space="preserve">Spec 5.2.7-5.2.8</t>
  </si>
  <si>
    <t xml:space="preserve">Scale</t>
  </si>
  <si>
    <t xml:space="preserve">Framework scores 1-5; master prompt specifies a 0-100 final score.</t>
  </si>
  <si>
    <t xml:space="preserve">Every metric is computed natively on 0-100. A 1-5 display equivalent = score / 20 is shown for continuity.</t>
  </si>
  <si>
    <t xml:space="preserve">Spec 5.1</t>
  </si>
  <si>
    <t xml:space="preserve">Identity</t>
  </si>
  <si>
    <t xml:space="preserve">Framework expects an Emp. ID column; no source file contains employee IDs.</t>
  </si>
  <si>
    <t xml:space="preserve">Placeholder IDs (EMP-xxxx) issued so records can be linked; HRMS code column added for replacement before go-live.</t>
  </si>
  <si>
    <t xml:space="preserve">Project Tracker</t>
  </si>
  <si>
    <t xml:space="preserve">Structure</t>
  </si>
  <si>
    <t xml:space="preserve">Three incompatible tracking styles: Product (project = task), CS (same 3 sub-tasks per issue), Ops (task duplicated per person).</t>
  </si>
  <si>
    <t xml:space="preserve">Normalised to Project &gt; Task &gt; Assignment. CS 3-step pattern becomes a reusable Task Template.</t>
  </si>
  <si>
    <t xml:space="preserve">Tracker_Cleaned; Spec 4.7</t>
  </si>
  <si>
    <t xml:space="preserve">Assignees</t>
  </si>
  <si>
    <t xml:space="preserve">Multiple people typed into one cell ("Saksham, Jaspreet, Jatin, Aryan, sumit roy").</t>
  </si>
  <si>
    <t xml:space="preserve">Split into one assignment row per person with role and contribution % (equal split until confirmed).</t>
  </si>
  <si>
    <t xml:space="preserve">First names only, inconsistent case and spacing ("pawan", "Vinay "), two names not in the org chart (Ankit Grin, Amandeep).</t>
  </si>
  <si>
    <t xml:space="preserve">Resolved to Employee IDs with a match note; unresolved names flagged for addition to the master.</t>
  </si>
  <si>
    <t xml:space="preserve">Priority blank on all 74 Customer Support rows.</t>
  </si>
  <si>
    <t xml:space="preserve">Priority is mandatory at project level; missing values flagged yellow for the owner to set.</t>
  </si>
  <si>
    <t xml:space="preserve">Deadlines</t>
  </si>
  <si>
    <t xml:space="preserve">80 of 115 rows have no usable target date (68 blank, 12 contain "-").</t>
  </si>
  <si>
    <t xml:space="preserve">Text dashes cleared; rows without a deadline are shown as "No deadline" and are not eligible for On-Time.</t>
  </si>
  <si>
    <t xml:space="preserve">Dates</t>
  </si>
  <si>
    <t xml:space="preserve">Completed date 13-Oct-2026 recorded for "Account opening journey with (AI)", which is in the future.</t>
  </si>
  <si>
    <t xml:space="preserve">Flagged; platform blocks completion dates later than today.</t>
  </si>
  <si>
    <t xml:space="preserve">Tracker_Cleaned; Spec P7</t>
  </si>
  <si>
    <t xml:space="preserve">8 projects have a completed date while status is On Hold / In Review / Ongoing; 2 are Completed with no date.</t>
  </si>
  <si>
    <t xml:space="preserve">Only status Completed with a completion date counts as completed. Completed-without-date moved to In Review.</t>
  </si>
  <si>
    <t xml:space="preserve">"Delayed" used as a manual status, while genuinely late tasks sit in other statuses.</t>
  </si>
  <si>
    <t xml:space="preserve">Delayed removed as a status and derived from dates (Late / Overdue). Delayed rows mapped to Blocked or In Progress by blocker type.</t>
  </si>
  <si>
    <t xml:space="preserve">Tracker_Cleaned; Spec 4.3</t>
  </si>
  <si>
    <t xml:space="preserve">Customer Support items opened in Nov 2024 are still "Ongoing".</t>
  </si>
  <si>
    <t xml:space="preserve">Flagged "Open &gt; 6 months"; platform raises stale-task alerts after a configurable number of days.</t>
  </si>
  <si>
    <t xml:space="preserve">Tracker_Cleaned; Spec P8</t>
  </si>
  <si>
    <t xml:space="preserve">Blockers</t>
  </si>
  <si>
    <t xml:space="preserve">Delay reasons are free text; about half point to Product/Development dependency.</t>
  </si>
  <si>
    <t xml:space="preserve">Classified into blocker types (dependency, reprioritisation, requirement change, technical, rework).</t>
  </si>
  <si>
    <t xml:space="preserve">Tracker_Cleaned; Spec 4.5</t>
  </si>
  <si>
    <t xml:space="preserve">Teams</t>
  </si>
  <si>
    <t xml:space="preserve">Team names do not match the org chart (Customer Support vs Client Support, Operations vs Back ofc &amp; Operations, Finance vs Accounts).</t>
  </si>
  <si>
    <t xml:space="preserve">Canonical department list with alias mapping.</t>
  </si>
  <si>
    <t xml:space="preserve">Data</t>
  </si>
  <si>
    <t xml:space="preserve">Stray value "Learning &amp; Development" at row 1,048,450 inflates the used range to 1M rows.</t>
  </si>
  <si>
    <t xml:space="preserve">Ignored during migration.</t>
  </si>
  <si>
    <t xml:space="preserve">Formulas</t>
  </si>
  <si>
    <t xml:space="preserve">Dashboard and R&amp;R formulas only cover rows 4-25, so they count 22 of 115 rows (Product only).</t>
  </si>
  <si>
    <t xml:space="preserve">All calculations use full ranges; platform computes from the database, not fixed ranges.</t>
  </si>
  <si>
    <t xml:space="preserve">Rewards Snapshot counts the "Reward Given" column for rows 4-7 instead of "Reward Tier" - always 0.</t>
  </si>
  <si>
    <t xml:space="preserve">Replaced by R&amp;R dashboard reading award records.</t>
  </si>
  <si>
    <t xml:space="preserve">Spec P13</t>
  </si>
  <si>
    <t xml:space="preserve">Cell K39 has a broken reference (REF error); On Hold count starts at row 5; row 7 counts by Champion instead of Team Member.</t>
  </si>
  <si>
    <t xml:space="preserve">Superseded by recalculated sheets.</t>
  </si>
  <si>
    <t xml:space="preserve">R&amp;R logic</t>
  </si>
  <si>
    <t xml:space="preserve">Validated delays still counted as late (e.g., SensAI delayed by management reprioritisation, validated Yes).</t>
  </si>
  <si>
    <t xml:space="preserve">Late tasks with a validated, excludable blocker are removed from the On-Time denominator.</t>
  </si>
  <si>
    <t xml:space="preserve">OnTime_Recalc; Spec 5.2.1</t>
  </si>
  <si>
    <t xml:space="preserve">On Hold tasks with a completed date counted as on-time completions (Shoonya R&amp;R, Jumpp Website 1.1).</t>
  </si>
  <si>
    <t xml:space="preserve">Only Completed status counts.</t>
  </si>
  <si>
    <t xml:space="preserve">"Tasks Delayed" counts only status = Delayed, so late tasks in other statuses show 0.</t>
  </si>
  <si>
    <t xml:space="preserve">Lateness derived from dates.</t>
  </si>
  <si>
    <t xml:space="preserve">Points formula yields at most 10 without manual bonus; Gold 50 / Silver 30 / Bronze 15 are only reachable through bonus points.</t>
  </si>
  <si>
    <t xml:space="preserve">Points and free bonus removed. Tiers based on the 0-100 performance score plus eligibility gates; recognition by evidence-backed nomination.</t>
  </si>
  <si>
    <t xml:space="preserve">Spec 7</t>
  </si>
  <si>
    <t xml:space="preserve">Column labelled "SLA / TAT Compliance" actually computes on-time rate.</t>
  </si>
  <si>
    <t xml:space="preserve">Renamed On-Time Rate.</t>
  </si>
  <si>
    <t xml:space="preserve">Org Chart</t>
  </si>
  <si>
    <t xml:space="preserve">Format</t>
  </si>
  <si>
    <t xml:space="preserve">Hierarchy stored as SmartArt diagrams, not data; cannot be imported directly.</t>
  </si>
  <si>
    <t xml:space="preserve">All 325 boxes extracted into a flat Employee_Master with manager links.</t>
  </si>
  <si>
    <t xml:space="preserve">Versions</t>
  </si>
  <si>
    <t xml:space="preserve">Hidden sheets "Prodduct" and "Product-Shoonya" are outdated Product charts.</t>
  </si>
  <si>
    <t xml:space="preserve">Excluded; only the visible Products sheet imported.</t>
  </si>
  <si>
    <t xml:space="preserve">16 names are shared by more than one record (e.g., two Pawan Kumars, Amit Kumars, Mukesh Kumars).</t>
  </si>
  <si>
    <t xml:space="preserve">Each record has its own ID; collisions listed for HR confirmation.</t>
  </si>
  <si>
    <t xml:space="preserve">Duplicates</t>
  </si>
  <si>
    <t xml:space="preserve">Salim Khan appears twice under the same RMS manager; Amritpal Singh twice in Client Support.</t>
  </si>
  <si>
    <t xml:space="preserve">Flagged as possible duplicates pending confirmation.</t>
  </si>
  <si>
    <t xml:space="preserve">Positions</t>
  </si>
  <si>
    <t xml:space="preserve">Vacant or unnamed boxes (Managing Director, Head Insurance, AM Compliance, Front Desk head, an empty HR box).</t>
  </si>
  <si>
    <t xml:space="preserve">Position entity separated from Employee; vacancies imported as POS- records.</t>
  </si>
  <si>
    <t xml:space="preserve">Employee_Master; Spec 3</t>
  </si>
  <si>
    <t xml:space="preserve">Heads</t>
  </si>
  <si>
    <t xml:space="preserve">Pawan Kumar (AVP-Operations) heads Demat, Operations &amp; BO and Compliance.</t>
  </si>
  <si>
    <t xml:space="preserve">HOD can own multiple departments; one person record, several department-head links.</t>
  </si>
  <si>
    <t xml:space="preserve">Employee_Master; Spec 2</t>
  </si>
  <si>
    <t xml:space="preserve">Names</t>
  </si>
  <si>
    <t xml:space="preserve">Informal or incomplete names ("Ramneek Mam", single names, malformed brackets, typos in designations).</t>
  </si>
  <si>
    <t xml:space="preserve">Cleaned; single-name records flagged for surname.</t>
  </si>
  <si>
    <t xml:space="preserve">Matrix</t>
  </si>
  <si>
    <t xml:space="preserve">People report into one department but work on another's projects (e.g., Associate BAs under Sales working on Product).</t>
  </si>
  <si>
    <t xml:space="preserve">Reporting manager (HR line) and project membership (work line) kept separate; visibility granted through both.</t>
  </si>
  <si>
    <t xml:space="preserve">Spec 2.3</t>
  </si>
  <si>
    <t xml:space="preserve">Master Prompt</t>
  </si>
  <si>
    <t xml:space="preserve">No mapping of the 17 departments to performance categories.</t>
  </si>
  <si>
    <t xml:space="preserve">Proposed mapping with team-level overrides (NBFC, jUMPP, RMS &amp; Dealer).</t>
  </si>
  <si>
    <t xml:space="preserve">Departments; Spec 5.4</t>
  </si>
  <si>
    <t xml:space="preserve">Data sources</t>
  </si>
  <si>
    <t xml:space="preserve">Only On-Time can be derived today; Achievement, CSAT, Compliance and Quality have no source.</t>
  </si>
  <si>
    <t xml:space="preserve">Source and entry method defined per metric; missing metrics renormalised if at least 70% of weight has data, else Insufficient Data.</t>
  </si>
  <si>
    <t xml:space="preserve">Spec 5.5</t>
  </si>
  <si>
    <t xml:space="preserve">Access</t>
  </si>
  <si>
    <t xml:space="preserve">"Team login" implies shared credentials, which breaks the audit trail.</t>
  </si>
  <si>
    <t xml:space="preserve">Named individual accounts only; no shared logins.</t>
  </si>
  <si>
    <t xml:space="preserve">Spec 2.1</t>
  </si>
  <si>
    <t xml:space="preserve">With no employee logins, managers must enter every update for about 317 people.</t>
  </si>
  <si>
    <t xml:space="preserve">Team Lead role made standard (update rights on own team tasks); bulk update and CSV import provided.</t>
  </si>
  <si>
    <t xml:space="preserve">Spec 2.1, P7</t>
  </si>
  <si>
    <t xml:space="preserve">Visibility</t>
  </si>
  <si>
    <t xml:space="preserve">Strict team-only visibility hides cross-team blockers (CS projects waiting on Product).</t>
  </si>
  <si>
    <t xml:space="preserve">Visibility = own hierarchy + projects you own or are a member of + read-only view of blocking tasks.</t>
  </si>
  <si>
    <t xml:space="preserve">Spec 2.2</t>
  </si>
  <si>
    <t xml:space="preserve">Attribution</t>
  </si>
  <si>
    <t xml:space="preserve">No rule for credit/blame on multi-assignee tasks.</t>
  </si>
  <si>
    <t xml:space="preserve">Assignment records with role (Owner/Contributor) and contribution % summing to 100%.</t>
  </si>
  <si>
    <t xml:space="preserve">Spec 4.6</t>
  </si>
  <si>
    <t xml:space="preserve">RACI</t>
  </si>
  <si>
    <t xml:space="preserve">Two versions of the matrix: the visible sheet uses generic roles, a hidden "Sheet3" has named people, and they disagree (e.g. Content approval R = Marketing POC vs Content team; Legal vs Compliance). Mitigations sit in a separate block in the visible sheet.</t>
  </si>
  <si>
    <t xml:space="preserve">Template stores roles with a default person; named version used for defaults; every conflict flagged for confirmation.</t>
  </si>
  <si>
    <t xml:space="preserve">Accountability</t>
  </si>
  <si>
    <t xml:space="preserve">Content approval has A = "Requesting department" - a team, not one person.</t>
  </si>
  <si>
    <t xml:space="preserve">Every step must have exactly one named Accountable; for request-driven steps it resolves to the head of the requesting department when the request is raised.</t>
  </si>
  <si>
    <t xml:space="preserve">Workflow_Templates; CLAUDE.md</t>
  </si>
  <si>
    <t xml:space="preserve">Separation of duties</t>
  </si>
  <si>
    <t xml:space="preserve">Steps 4-6: Naveen Kumar is Responsible, Accountable, Consulted and validation owner - nobody independently checks the Critical-risk launch step.</t>
  </si>
  <si>
    <t xml:space="preserve">Platform blocks reviewing your own work; a different validation owner is proposed (Marketing POC or Data analyst).</t>
  </si>
  <si>
    <t xml:space="preserve">Redundancy</t>
  </si>
  <si>
    <t xml:space="preserve">Same person holds two letters on one step (Marketing POC is A and I on step 1; C = R on steps 5-6).</t>
  </si>
  <si>
    <t xml:space="preserve">One letter per person per step; duplicates removed.</t>
  </si>
  <si>
    <t xml:space="preserve">SLA</t>
  </si>
  <si>
    <t xml:space="preserve">SLAs are text ranges ("2-3 business days"); performance tracking is "Ongoing" with only the first report timed.</t>
  </si>
  <si>
    <t xml:space="preserve">Stored as target and max business days; due date uses the max, working-day calendar applied; cadence for later reports to be defined.</t>
  </si>
  <si>
    <t xml:space="preserve">People</t>
  </si>
  <si>
    <t xml:space="preserve">Mukesh Thakur (Marketing POC) is not in the org chart; "Gurjot Sodhi" and "Rajesh Gaddam" do not match org-chart names; Naveen Kumar matches two employees.</t>
  </si>
  <si>
    <t xml:space="preserve">Flagged; people are linked by Emp ID once confirmed.</t>
  </si>
  <si>
    <t xml:space="preserve">Workflow_Templates; Name_Collisions</t>
  </si>
  <si>
    <t xml:space="preserve">Risks</t>
  </si>
  <si>
    <t xml:space="preserve">Risk sheet has no stage column, two risks per cell, no owner or status, and a trailing empty header row.</t>
  </si>
  <si>
    <t xml:space="preserve">Mapped to stages by row order (confirm); one risk per row; owner, status and review date added.</t>
  </si>
  <si>
    <t xml:space="preserve">RCA</t>
  </si>
  <si>
    <t xml:space="preserve">Template has headers only - no ID, incident date, product, severity, owner or defined status values.</t>
  </si>
  <si>
    <t xml:space="preserve">RCA register with auto ID, severity (same scale as the Compliance KPI), root-cause category, owners as Emp IDs and a status list.</t>
  </si>
  <si>
    <t xml:space="preserve">Combined fields</t>
  </si>
  <si>
    <t xml:space="preserve">"Correction action taken &amp; time", "Total client and order impact" and "Responsible department and stakeholder" each hold two values.</t>
  </si>
  <si>
    <t xml:space="preserve">Split into separate columns so they can be filtered, validated and reported.</t>
  </si>
  <si>
    <t xml:space="preserve">Preventive actions</t>
  </si>
  <si>
    <t xml:space="preserve">Preventive action has no owner or due date, so it cannot be tracked to completion.</t>
  </si>
  <si>
    <t xml:space="preserve">Owner and due date added; in the platform each preventive action becomes a task, and the RCA closes only when those tasks are accepted and closure is verified by someone else.</t>
  </si>
  <si>
    <t xml:space="preserve">RCA_Register; CLAUDE.md</t>
  </si>
  <si>
    <t xml:space="preserve">Fairness</t>
  </si>
  <si>
    <t xml:space="preserve">No rule for how an incident affects an individual's performance.</t>
  </si>
  <si>
    <t xml:space="preserve">An incident counts against a person's Compliance KPI only when severity and individual attribution are both validated; otherwise it is a department-level metric.</t>
  </si>
  <si>
    <t xml:space="preserve">CLAUDE.md</t>
  </si>
  <si>
    <t xml:space="preserve">Formatting</t>
  </si>
  <si>
    <t xml:space="preserve">Sheet is formatted to W983 for 10 header cells (73 KB).</t>
  </si>
  <si>
    <t xml:space="preserve">Ignored on import.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</si>
</sst>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0%"/>
    <numFmt numFmtId="167" formatCode="dd\-mmm\-yy"/>
    <numFmt numFmtId="168" formatCode="0.0%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color rgb="FF7A8594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CE4E4"/>
      </patternFill>
    </fill>
    <fill>
      <patternFill patternType="solid">
        <fgColor rgb="FF1F3A5F"/>
        <bgColor rgb="FF333333"/>
      </patternFill>
    </fill>
    <fill>
      <patternFill patternType="solid">
        <fgColor rgb="FFFCE4E4"/>
        <bgColor rgb="FFFFF2CC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594"/>
      <rgbColor rgb="FF9999FF"/>
      <rgbColor rgb="FF993366"/>
      <rgbColor rgb="FFFFF2CC"/>
      <rgbColor rgb="FFEEF2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n">
        <v>46294</v>
      </c>
    </row>
    <row r="6" customFormat="false" ht="15" hidden="false" customHeight="true" outlineLevel="0" collapsed="false">
      <c r="A6" s="4" t="s">
        <v>3</v>
      </c>
      <c r="B6" s="6" t="s">
        <v>4</v>
      </c>
    </row>
    <row r="7" customFormat="false" ht="23.25" hidden="false" customHeight="true" outlineLevel="0" collapsed="false">
      <c r="A7" s="7" t="s">
        <v>5</v>
      </c>
      <c r="B7" s="8" t="s">
        <v>6</v>
      </c>
    </row>
    <row r="8" customFormat="false" ht="15" hidden="false" customHeight="true" outlineLevel="0" collapsed="false">
      <c r="A8" s="7" t="s">
        <v>7</v>
      </c>
      <c r="B8" s="8" t="s">
        <v>8</v>
      </c>
    </row>
    <row r="9" customFormat="false" ht="15" hidden="false" customHeight="true" outlineLevel="0" collapsed="false">
      <c r="A9" s="7" t="s">
        <v>9</v>
      </c>
      <c r="B9" s="8" t="s">
        <v>10</v>
      </c>
    </row>
    <row r="10" customFormat="false" ht="15" hidden="false" customHeight="true" outlineLevel="0" collapsed="false">
      <c r="A10" s="7" t="s">
        <v>11</v>
      </c>
      <c r="B10" s="8" t="s">
        <v>12</v>
      </c>
    </row>
    <row r="11" customFormat="false" ht="23.25" hidden="false" customHeight="true" outlineLevel="0" collapsed="false">
      <c r="A11" s="7" t="s">
        <v>13</v>
      </c>
      <c r="B11" s="8" t="s">
        <v>14</v>
      </c>
    </row>
    <row r="12" customFormat="false" ht="15" hidden="false" customHeight="true" outlineLevel="0" collapsed="false">
      <c r="A12" s="7" t="s">
        <v>15</v>
      </c>
      <c r="B12" s="8" t="s">
        <v>16</v>
      </c>
    </row>
    <row r="13" customFormat="false" ht="15" hidden="false" customHeight="true" outlineLevel="0" collapsed="false">
      <c r="A13" s="7" t="s">
        <v>17</v>
      </c>
      <c r="B13" s="8" t="s">
        <v>18</v>
      </c>
    </row>
    <row r="14" customFormat="false" ht="15" hidden="false" customHeight="true" outlineLevel="0" collapsed="false">
      <c r="A14" s="7" t="s">
        <v>19</v>
      </c>
      <c r="B14" s="8" t="s">
        <v>20</v>
      </c>
    </row>
    <row r="15" customFormat="false" ht="15" hidden="false" customHeight="true" outlineLevel="0" collapsed="false">
      <c r="A15" s="9" t="s">
        <v>21</v>
      </c>
      <c r="B15" s="8" t="s">
        <v>22</v>
      </c>
    </row>
    <row r="16" customFormat="false" ht="15" hidden="false" customHeight="true" outlineLevel="0" collapsed="false">
      <c r="A16" s="9" t="s">
        <v>23</v>
      </c>
      <c r="B16" s="8" t="s">
        <v>24</v>
      </c>
    </row>
    <row r="17" customFormat="false" ht="23.25" hidden="false" customHeight="true" outlineLevel="0" collapsed="false">
      <c r="A17" s="9" t="s">
        <v>25</v>
      </c>
      <c r="B17" s="8" t="s">
        <v>26</v>
      </c>
    </row>
    <row r="18" customFormat="false" ht="15" hidden="false" customHeight="false" outlineLevel="0" collapsed="false">
      <c r="A18" s="7"/>
      <c r="B18" s="8"/>
    </row>
    <row r="19" customFormat="false" ht="15" hidden="false" customHeight="false" outlineLevel="0" collapsed="false">
      <c r="A19" s="4" t="s">
        <v>27</v>
      </c>
      <c r="B19" s="8" t="s">
        <v>28</v>
      </c>
    </row>
    <row r="20" customFormat="false" ht="23.85" hidden="false" customHeight="false" outlineLevel="0" collapsed="false">
      <c r="A20" s="4" t="s">
        <v>29</v>
      </c>
      <c r="B20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3" min="2" style="1" width="14"/>
    <col collapsed="false" customWidth="true" hidden="false" outlineLevel="0" max="4" min="4" style="1" width="24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8"/>
    <col collapsed="false" customWidth="true" hidden="false" outlineLevel="0" max="8" min="8" style="1" width="13"/>
    <col collapsed="false" customWidth="true" hidden="false" outlineLevel="0" max="9" min="9" style="1" width="24"/>
    <col collapsed="false" customWidth="true" hidden="false" outlineLevel="0" max="10" min="10" style="1" width="9"/>
    <col collapsed="false" customWidth="true" hidden="false" outlineLevel="0" max="11" min="11" style="1" width="20"/>
    <col collapsed="false" customWidth="true" hidden="false" outlineLevel="0" max="12" min="12" style="1" width="44"/>
    <col collapsed="false" customWidth="true" hidden="false" outlineLevel="0" max="13" min="13" style="1" width="40"/>
  </cols>
  <sheetData>
    <row r="1" customFormat="false" ht="34.5" hidden="false" customHeight="true" outlineLevel="0" collapsed="false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  <c r="H1" s="10" t="s">
        <v>38</v>
      </c>
      <c r="I1" s="10" t="s">
        <v>39</v>
      </c>
      <c r="J1" s="10" t="s">
        <v>40</v>
      </c>
      <c r="K1" s="10" t="s">
        <v>41</v>
      </c>
      <c r="L1" s="10" t="s">
        <v>42</v>
      </c>
      <c r="M1" s="10" t="s">
        <v>43</v>
      </c>
    </row>
    <row r="2" customFormat="false" ht="15" hidden="false" customHeight="true" outlineLevel="0" collapsed="false">
      <c r="A2" s="11" t="s">
        <v>44</v>
      </c>
      <c r="B2" s="12"/>
      <c r="C2" s="11" t="s">
        <v>45</v>
      </c>
      <c r="D2" s="11" t="s">
        <v>46</v>
      </c>
      <c r="E2" s="11" t="s">
        <v>47</v>
      </c>
      <c r="F2" s="11" t="s">
        <v>48</v>
      </c>
      <c r="G2" s="11" t="n">
        <v>1</v>
      </c>
      <c r="H2" s="11"/>
      <c r="I2" s="11"/>
      <c r="J2" s="11" t="n">
        <f aca="false">COUNTIF($H$2:$H$326,A2)</f>
        <v>7</v>
      </c>
      <c r="K2" s="11" t="s">
        <v>49</v>
      </c>
      <c r="L2" s="13" t="s">
        <v>50</v>
      </c>
      <c r="M2" s="11" t="s">
        <v>47</v>
      </c>
    </row>
    <row r="3" customFormat="false" ht="15" hidden="false" customHeight="true" outlineLevel="0" collapsed="false">
      <c r="A3" s="11" t="s">
        <v>51</v>
      </c>
      <c r="B3" s="12"/>
      <c r="C3" s="11" t="s">
        <v>52</v>
      </c>
      <c r="D3" s="11" t="s">
        <v>53</v>
      </c>
      <c r="E3" s="11" t="s">
        <v>54</v>
      </c>
      <c r="F3" s="11" t="s">
        <v>48</v>
      </c>
      <c r="G3" s="11" t="n">
        <v>2</v>
      </c>
      <c r="H3" s="11" t="s">
        <v>44</v>
      </c>
      <c r="I3" s="11" t="s">
        <v>47</v>
      </c>
      <c r="J3" s="11" t="n">
        <f aca="false">COUNTIF($H$2:$H$326,A3)</f>
        <v>4</v>
      </c>
      <c r="K3" s="11" t="s">
        <v>55</v>
      </c>
      <c r="L3" s="14"/>
      <c r="M3" s="11" t="s">
        <v>56</v>
      </c>
    </row>
    <row r="4" customFormat="false" ht="15" hidden="false" customHeight="true" outlineLevel="0" collapsed="false">
      <c r="A4" s="11" t="s">
        <v>57</v>
      </c>
      <c r="B4" s="12"/>
      <c r="C4" s="11" t="s">
        <v>52</v>
      </c>
      <c r="D4" s="11" t="s">
        <v>58</v>
      </c>
      <c r="E4" s="11" t="s">
        <v>59</v>
      </c>
      <c r="F4" s="11" t="s">
        <v>48</v>
      </c>
      <c r="G4" s="11" t="n">
        <v>3</v>
      </c>
      <c r="H4" s="11" t="s">
        <v>51</v>
      </c>
      <c r="I4" s="11" t="s">
        <v>53</v>
      </c>
      <c r="J4" s="11" t="n">
        <f aca="false">COUNTIF($H$2:$H$326,A4)</f>
        <v>1</v>
      </c>
      <c r="K4" s="11" t="s">
        <v>55</v>
      </c>
      <c r="L4" s="14"/>
      <c r="M4" s="11" t="s">
        <v>60</v>
      </c>
    </row>
    <row r="5" customFormat="false" ht="15" hidden="false" customHeight="true" outlineLevel="0" collapsed="false">
      <c r="A5" s="11" t="s">
        <v>61</v>
      </c>
      <c r="B5" s="12"/>
      <c r="C5" s="11" t="s">
        <v>52</v>
      </c>
      <c r="D5" s="11" t="s">
        <v>62</v>
      </c>
      <c r="E5" s="11" t="s">
        <v>59</v>
      </c>
      <c r="F5" s="11" t="s">
        <v>48</v>
      </c>
      <c r="G5" s="11" t="n">
        <v>4</v>
      </c>
      <c r="H5" s="11" t="s">
        <v>57</v>
      </c>
      <c r="I5" s="11" t="s">
        <v>58</v>
      </c>
      <c r="J5" s="11" t="n">
        <f aca="false">COUNTIF($H$2:$H$326,A5)</f>
        <v>0</v>
      </c>
      <c r="K5" s="11" t="s">
        <v>63</v>
      </c>
      <c r="L5" s="14"/>
      <c r="M5" s="11" t="s">
        <v>64</v>
      </c>
    </row>
    <row r="6" customFormat="false" ht="15" hidden="false" customHeight="true" outlineLevel="0" collapsed="false">
      <c r="A6" s="11" t="s">
        <v>65</v>
      </c>
      <c r="B6" s="12"/>
      <c r="C6" s="11" t="s">
        <v>52</v>
      </c>
      <c r="D6" s="11" t="s">
        <v>66</v>
      </c>
      <c r="E6" s="11" t="s">
        <v>67</v>
      </c>
      <c r="F6" s="11" t="s">
        <v>48</v>
      </c>
      <c r="G6" s="11" t="n">
        <v>3</v>
      </c>
      <c r="H6" s="11" t="s">
        <v>51</v>
      </c>
      <c r="I6" s="11" t="s">
        <v>53</v>
      </c>
      <c r="J6" s="11" t="n">
        <f aca="false">COUNTIF($H$2:$H$326,A6)</f>
        <v>2</v>
      </c>
      <c r="K6" s="11" t="s">
        <v>55</v>
      </c>
      <c r="L6" s="14"/>
      <c r="M6" s="11" t="s">
        <v>68</v>
      </c>
    </row>
    <row r="7" customFormat="false" ht="15" hidden="false" customHeight="true" outlineLevel="0" collapsed="false">
      <c r="A7" s="11" t="s">
        <v>69</v>
      </c>
      <c r="B7" s="12"/>
      <c r="C7" s="11" t="s">
        <v>52</v>
      </c>
      <c r="D7" s="11" t="s">
        <v>70</v>
      </c>
      <c r="E7" s="11" t="s">
        <v>71</v>
      </c>
      <c r="F7" s="11" t="s">
        <v>48</v>
      </c>
      <c r="G7" s="11" t="n">
        <v>4</v>
      </c>
      <c r="H7" s="11" t="s">
        <v>65</v>
      </c>
      <c r="I7" s="11" t="s">
        <v>66</v>
      </c>
      <c r="J7" s="11" t="n">
        <f aca="false">COUNTIF($H$2:$H$326,A7)</f>
        <v>0</v>
      </c>
      <c r="K7" s="11" t="s">
        <v>63</v>
      </c>
      <c r="L7" s="13" t="s">
        <v>72</v>
      </c>
      <c r="M7" s="11" t="s">
        <v>73</v>
      </c>
    </row>
    <row r="8" customFormat="false" ht="15" hidden="false" customHeight="true" outlineLevel="0" collapsed="false">
      <c r="A8" s="11" t="s">
        <v>74</v>
      </c>
      <c r="B8" s="12"/>
      <c r="C8" s="11" t="s">
        <v>52</v>
      </c>
      <c r="D8" s="11" t="s">
        <v>75</v>
      </c>
      <c r="E8" s="11" t="s">
        <v>76</v>
      </c>
      <c r="F8" s="11" t="s">
        <v>48</v>
      </c>
      <c r="G8" s="11" t="n">
        <v>4</v>
      </c>
      <c r="H8" s="11" t="s">
        <v>65</v>
      </c>
      <c r="I8" s="11" t="s">
        <v>66</v>
      </c>
      <c r="J8" s="11" t="n">
        <f aca="false">COUNTIF($H$2:$H$326,A8)</f>
        <v>0</v>
      </c>
      <c r="K8" s="11" t="s">
        <v>63</v>
      </c>
      <c r="L8" s="14"/>
      <c r="M8" s="11" t="s">
        <v>77</v>
      </c>
    </row>
    <row r="9" customFormat="false" ht="15" hidden="false" customHeight="true" outlineLevel="0" collapsed="false">
      <c r="A9" s="11" t="s">
        <v>78</v>
      </c>
      <c r="B9" s="12"/>
      <c r="C9" s="11" t="s">
        <v>52</v>
      </c>
      <c r="D9" s="11" t="s">
        <v>79</v>
      </c>
      <c r="E9" s="11" t="s">
        <v>80</v>
      </c>
      <c r="F9" s="11" t="s">
        <v>48</v>
      </c>
      <c r="G9" s="11" t="n">
        <v>3</v>
      </c>
      <c r="H9" s="11" t="s">
        <v>51</v>
      </c>
      <c r="I9" s="11" t="s">
        <v>53</v>
      </c>
      <c r="J9" s="11" t="n">
        <f aca="false">COUNTIF($H$2:$H$326,A9)</f>
        <v>0</v>
      </c>
      <c r="K9" s="11" t="s">
        <v>63</v>
      </c>
      <c r="L9" s="14"/>
      <c r="M9" s="11" t="s">
        <v>81</v>
      </c>
    </row>
    <row r="10" customFormat="false" ht="15" hidden="false" customHeight="true" outlineLevel="0" collapsed="false">
      <c r="A10" s="11" t="s">
        <v>82</v>
      </c>
      <c r="B10" s="12"/>
      <c r="C10" s="11" t="s">
        <v>52</v>
      </c>
      <c r="D10" s="11" t="s">
        <v>83</v>
      </c>
      <c r="E10" s="11" t="s">
        <v>84</v>
      </c>
      <c r="F10" s="11" t="s">
        <v>48</v>
      </c>
      <c r="G10" s="11" t="n">
        <v>3</v>
      </c>
      <c r="H10" s="11" t="s">
        <v>51</v>
      </c>
      <c r="I10" s="11" t="s">
        <v>53</v>
      </c>
      <c r="J10" s="11" t="n">
        <f aca="false">COUNTIF($H$2:$H$326,A10)</f>
        <v>3</v>
      </c>
      <c r="K10" s="11" t="s">
        <v>55</v>
      </c>
      <c r="L10" s="14"/>
      <c r="M10" s="11" t="s">
        <v>85</v>
      </c>
    </row>
    <row r="11" customFormat="false" ht="15" hidden="false" customHeight="true" outlineLevel="0" collapsed="false">
      <c r="A11" s="11" t="s">
        <v>86</v>
      </c>
      <c r="B11" s="12"/>
      <c r="C11" s="11" t="s">
        <v>52</v>
      </c>
      <c r="D11" s="11" t="s">
        <v>87</v>
      </c>
      <c r="E11" s="11" t="s">
        <v>88</v>
      </c>
      <c r="F11" s="11" t="s">
        <v>48</v>
      </c>
      <c r="G11" s="11" t="n">
        <v>4</v>
      </c>
      <c r="H11" s="11" t="s">
        <v>82</v>
      </c>
      <c r="I11" s="11" t="s">
        <v>83</v>
      </c>
      <c r="J11" s="11" t="n">
        <f aca="false">COUNTIF($H$2:$H$326,A11)</f>
        <v>0</v>
      </c>
      <c r="K11" s="11" t="s">
        <v>63</v>
      </c>
      <c r="L11" s="14"/>
      <c r="M11" s="11" t="s">
        <v>89</v>
      </c>
    </row>
    <row r="12" customFormat="false" ht="15" hidden="false" customHeight="true" outlineLevel="0" collapsed="false">
      <c r="A12" s="11" t="s">
        <v>90</v>
      </c>
      <c r="B12" s="12"/>
      <c r="C12" s="11" t="s">
        <v>52</v>
      </c>
      <c r="D12" s="11" t="s">
        <v>91</v>
      </c>
      <c r="E12" s="11" t="s">
        <v>71</v>
      </c>
      <c r="F12" s="11" t="s">
        <v>48</v>
      </c>
      <c r="G12" s="11" t="n">
        <v>4</v>
      </c>
      <c r="H12" s="11" t="s">
        <v>82</v>
      </c>
      <c r="I12" s="11" t="s">
        <v>83</v>
      </c>
      <c r="J12" s="11" t="n">
        <f aca="false">COUNTIF($H$2:$H$326,A12)</f>
        <v>0</v>
      </c>
      <c r="K12" s="11" t="s">
        <v>63</v>
      </c>
      <c r="L12" s="14"/>
      <c r="M12" s="11" t="s">
        <v>92</v>
      </c>
    </row>
    <row r="13" customFormat="false" ht="15" hidden="false" customHeight="true" outlineLevel="0" collapsed="false">
      <c r="A13" s="11" t="s">
        <v>93</v>
      </c>
      <c r="B13" s="12"/>
      <c r="C13" s="11" t="s">
        <v>52</v>
      </c>
      <c r="D13" s="11" t="s">
        <v>94</v>
      </c>
      <c r="E13" s="11" t="s">
        <v>88</v>
      </c>
      <c r="F13" s="11" t="s">
        <v>48</v>
      </c>
      <c r="G13" s="11" t="n">
        <v>4</v>
      </c>
      <c r="H13" s="11" t="s">
        <v>82</v>
      </c>
      <c r="I13" s="11" t="s">
        <v>83</v>
      </c>
      <c r="J13" s="11" t="n">
        <f aca="false">COUNTIF($H$2:$H$326,A13)</f>
        <v>0</v>
      </c>
      <c r="K13" s="11" t="s">
        <v>63</v>
      </c>
      <c r="L13" s="14"/>
      <c r="M13" s="11" t="s">
        <v>95</v>
      </c>
    </row>
    <row r="14" customFormat="false" ht="15" hidden="false" customHeight="true" outlineLevel="0" collapsed="false">
      <c r="A14" s="11" t="s">
        <v>44</v>
      </c>
      <c r="B14" s="12"/>
      <c r="C14" s="11" t="s">
        <v>45</v>
      </c>
      <c r="D14" s="11" t="s">
        <v>46</v>
      </c>
      <c r="E14" s="11" t="s">
        <v>47</v>
      </c>
      <c r="F14" s="11" t="s">
        <v>96</v>
      </c>
      <c r="G14" s="11" t="n">
        <v>1</v>
      </c>
      <c r="H14" s="11"/>
      <c r="I14" s="11"/>
      <c r="J14" s="11" t="n">
        <f aca="false">COUNTIF($H$2:$H$326,A14)</f>
        <v>7</v>
      </c>
      <c r="K14" s="11" t="s">
        <v>49</v>
      </c>
      <c r="L14" s="13" t="s">
        <v>50</v>
      </c>
      <c r="M14" s="11" t="s">
        <v>47</v>
      </c>
    </row>
    <row r="15" customFormat="false" ht="15" hidden="false" customHeight="true" outlineLevel="0" collapsed="false">
      <c r="A15" s="11" t="s">
        <v>97</v>
      </c>
      <c r="B15" s="12"/>
      <c r="C15" s="11" t="s">
        <v>52</v>
      </c>
      <c r="D15" s="11" t="s">
        <v>98</v>
      </c>
      <c r="E15" s="11" t="s">
        <v>99</v>
      </c>
      <c r="F15" s="11" t="s">
        <v>96</v>
      </c>
      <c r="G15" s="11" t="n">
        <v>2</v>
      </c>
      <c r="H15" s="11" t="s">
        <v>44</v>
      </c>
      <c r="I15" s="11" t="s">
        <v>47</v>
      </c>
      <c r="J15" s="11" t="n">
        <f aca="false">COUNTIF($H$2:$H$326,A15)</f>
        <v>1</v>
      </c>
      <c r="K15" s="11" t="s">
        <v>100</v>
      </c>
      <c r="L15" s="14"/>
      <c r="M15" s="11" t="s">
        <v>101</v>
      </c>
    </row>
    <row r="16" customFormat="false" ht="15" hidden="false" customHeight="true" outlineLevel="0" collapsed="false">
      <c r="A16" s="11" t="s">
        <v>102</v>
      </c>
      <c r="B16" s="12"/>
      <c r="C16" s="11" t="s">
        <v>52</v>
      </c>
      <c r="D16" s="11" t="s">
        <v>103</v>
      </c>
      <c r="E16" s="11" t="s">
        <v>104</v>
      </c>
      <c r="F16" s="11" t="s">
        <v>96</v>
      </c>
      <c r="G16" s="11" t="n">
        <v>3</v>
      </c>
      <c r="H16" s="11" t="s">
        <v>97</v>
      </c>
      <c r="I16" s="11" t="s">
        <v>98</v>
      </c>
      <c r="J16" s="11" t="n">
        <f aca="false">COUNTIF($H$2:$H$326,A16)</f>
        <v>4</v>
      </c>
      <c r="K16" s="11" t="s">
        <v>55</v>
      </c>
      <c r="L16" s="13" t="s">
        <v>105</v>
      </c>
      <c r="M16" s="11" t="s">
        <v>106</v>
      </c>
    </row>
    <row r="17" customFormat="false" ht="15" hidden="false" customHeight="true" outlineLevel="0" collapsed="false">
      <c r="A17" s="11" t="s">
        <v>107</v>
      </c>
      <c r="B17" s="12"/>
      <c r="C17" s="11" t="s">
        <v>52</v>
      </c>
      <c r="D17" s="11" t="s">
        <v>108</v>
      </c>
      <c r="E17" s="11" t="s">
        <v>109</v>
      </c>
      <c r="F17" s="11" t="s">
        <v>96</v>
      </c>
      <c r="G17" s="11" t="n">
        <v>4</v>
      </c>
      <c r="H17" s="11" t="s">
        <v>102</v>
      </c>
      <c r="I17" s="11" t="s">
        <v>103</v>
      </c>
      <c r="J17" s="11" t="n">
        <f aca="false">COUNTIF($H$2:$H$326,A17)</f>
        <v>0</v>
      </c>
      <c r="K17" s="11" t="s">
        <v>63</v>
      </c>
      <c r="L17" s="14"/>
      <c r="M17" s="11" t="s">
        <v>110</v>
      </c>
    </row>
    <row r="18" customFormat="false" ht="15" hidden="false" customHeight="true" outlineLevel="0" collapsed="false">
      <c r="A18" s="11" t="s">
        <v>111</v>
      </c>
      <c r="B18" s="12"/>
      <c r="C18" s="11" t="s">
        <v>52</v>
      </c>
      <c r="D18" s="11" t="s">
        <v>112</v>
      </c>
      <c r="E18" s="11" t="s">
        <v>109</v>
      </c>
      <c r="F18" s="11" t="s">
        <v>96</v>
      </c>
      <c r="G18" s="11" t="n">
        <v>4</v>
      </c>
      <c r="H18" s="11" t="s">
        <v>102</v>
      </c>
      <c r="I18" s="11" t="s">
        <v>103</v>
      </c>
      <c r="J18" s="11" t="n">
        <f aca="false">COUNTIF($H$2:$H$326,A18)</f>
        <v>0</v>
      </c>
      <c r="K18" s="11" t="s">
        <v>63</v>
      </c>
      <c r="L18" s="14"/>
      <c r="M18" s="11" t="s">
        <v>113</v>
      </c>
    </row>
    <row r="19" customFormat="false" ht="15" hidden="false" customHeight="true" outlineLevel="0" collapsed="false">
      <c r="A19" s="11" t="s">
        <v>114</v>
      </c>
      <c r="B19" s="12"/>
      <c r="C19" s="11" t="s">
        <v>52</v>
      </c>
      <c r="D19" s="11" t="s">
        <v>115</v>
      </c>
      <c r="E19" s="11" t="s">
        <v>109</v>
      </c>
      <c r="F19" s="11" t="s">
        <v>96</v>
      </c>
      <c r="G19" s="11" t="n">
        <v>4</v>
      </c>
      <c r="H19" s="11" t="s">
        <v>102</v>
      </c>
      <c r="I19" s="11" t="s">
        <v>103</v>
      </c>
      <c r="J19" s="11" t="n">
        <f aca="false">COUNTIF($H$2:$H$326,A19)</f>
        <v>0</v>
      </c>
      <c r="K19" s="11" t="s">
        <v>63</v>
      </c>
      <c r="L19" s="14"/>
      <c r="M19" s="11" t="s">
        <v>116</v>
      </c>
    </row>
    <row r="20" customFormat="false" ht="15" hidden="false" customHeight="true" outlineLevel="0" collapsed="false">
      <c r="A20" s="11" t="s">
        <v>117</v>
      </c>
      <c r="B20" s="12"/>
      <c r="C20" s="11" t="s">
        <v>52</v>
      </c>
      <c r="D20" s="11" t="s">
        <v>118</v>
      </c>
      <c r="E20" s="11" t="s">
        <v>109</v>
      </c>
      <c r="F20" s="11" t="s">
        <v>96</v>
      </c>
      <c r="G20" s="11" t="n">
        <v>4</v>
      </c>
      <c r="H20" s="11" t="s">
        <v>102</v>
      </c>
      <c r="I20" s="11" t="s">
        <v>103</v>
      </c>
      <c r="J20" s="11" t="n">
        <f aca="false">COUNTIF($H$2:$H$326,A20)</f>
        <v>0</v>
      </c>
      <c r="K20" s="11" t="s">
        <v>63</v>
      </c>
      <c r="L20" s="14"/>
      <c r="M20" s="11" t="s">
        <v>119</v>
      </c>
    </row>
    <row r="21" customFormat="false" ht="15" hidden="false" customHeight="true" outlineLevel="0" collapsed="false">
      <c r="A21" s="11" t="s">
        <v>120</v>
      </c>
      <c r="B21" s="12"/>
      <c r="C21" s="11" t="s">
        <v>52</v>
      </c>
      <c r="D21" s="11" t="s">
        <v>121</v>
      </c>
      <c r="E21" s="11" t="s">
        <v>122</v>
      </c>
      <c r="F21" s="11" t="s">
        <v>96</v>
      </c>
      <c r="G21" s="11" t="n">
        <v>2</v>
      </c>
      <c r="H21" s="11" t="s">
        <v>44</v>
      </c>
      <c r="I21" s="11" t="s">
        <v>47</v>
      </c>
      <c r="J21" s="11" t="n">
        <f aca="false">COUNTIF($H$2:$H$326,A21)</f>
        <v>16</v>
      </c>
      <c r="K21" s="11" t="s">
        <v>55</v>
      </c>
      <c r="L21" s="14"/>
      <c r="M21" s="11" t="s">
        <v>123</v>
      </c>
    </row>
    <row r="22" customFormat="false" ht="15" hidden="false" customHeight="true" outlineLevel="0" collapsed="false">
      <c r="A22" s="11" t="s">
        <v>124</v>
      </c>
      <c r="B22" s="12"/>
      <c r="C22" s="11" t="s">
        <v>52</v>
      </c>
      <c r="D22" s="11" t="s">
        <v>125</v>
      </c>
      <c r="E22" s="11" t="s">
        <v>126</v>
      </c>
      <c r="F22" s="11" t="s">
        <v>96</v>
      </c>
      <c r="G22" s="11" t="n">
        <v>3</v>
      </c>
      <c r="H22" s="11" t="s">
        <v>120</v>
      </c>
      <c r="I22" s="11" t="s">
        <v>121</v>
      </c>
      <c r="J22" s="11" t="n">
        <f aca="false">COUNTIF($H$2:$H$326,A22)</f>
        <v>1</v>
      </c>
      <c r="K22" s="11" t="s">
        <v>55</v>
      </c>
      <c r="L22" s="14"/>
      <c r="M22" s="11" t="s">
        <v>127</v>
      </c>
    </row>
    <row r="23" customFormat="false" ht="15" hidden="false" customHeight="true" outlineLevel="0" collapsed="false">
      <c r="A23" s="11" t="s">
        <v>128</v>
      </c>
      <c r="B23" s="12"/>
      <c r="C23" s="11" t="s">
        <v>52</v>
      </c>
      <c r="D23" s="11" t="s">
        <v>129</v>
      </c>
      <c r="E23" s="11" t="s">
        <v>130</v>
      </c>
      <c r="F23" s="11" t="s">
        <v>96</v>
      </c>
      <c r="G23" s="11" t="n">
        <v>4</v>
      </c>
      <c r="H23" s="11" t="s">
        <v>124</v>
      </c>
      <c r="I23" s="11" t="s">
        <v>125</v>
      </c>
      <c r="J23" s="11" t="n">
        <f aca="false">COUNTIF($H$2:$H$326,A23)</f>
        <v>0</v>
      </c>
      <c r="K23" s="11" t="s">
        <v>63</v>
      </c>
      <c r="L23" s="13" t="s">
        <v>72</v>
      </c>
      <c r="M23" s="11" t="s">
        <v>131</v>
      </c>
    </row>
    <row r="24" customFormat="false" ht="15" hidden="false" customHeight="true" outlineLevel="0" collapsed="false">
      <c r="A24" s="11" t="s">
        <v>132</v>
      </c>
      <c r="B24" s="12"/>
      <c r="C24" s="11" t="s">
        <v>52</v>
      </c>
      <c r="D24" s="11" t="s">
        <v>133</v>
      </c>
      <c r="E24" s="11" t="s">
        <v>134</v>
      </c>
      <c r="F24" s="11" t="s">
        <v>96</v>
      </c>
      <c r="G24" s="11" t="n">
        <v>3</v>
      </c>
      <c r="H24" s="11" t="s">
        <v>120</v>
      </c>
      <c r="I24" s="11" t="s">
        <v>121</v>
      </c>
      <c r="J24" s="11" t="n">
        <f aca="false">COUNTIF($H$2:$H$326,A24)</f>
        <v>0</v>
      </c>
      <c r="K24" s="11" t="s">
        <v>63</v>
      </c>
      <c r="L24" s="14"/>
      <c r="M24" s="11" t="s">
        <v>135</v>
      </c>
    </row>
    <row r="25" customFormat="false" ht="15" hidden="false" customHeight="true" outlineLevel="0" collapsed="false">
      <c r="A25" s="11" t="s">
        <v>136</v>
      </c>
      <c r="B25" s="12"/>
      <c r="C25" s="11" t="s">
        <v>52</v>
      </c>
      <c r="D25" s="11" t="s">
        <v>137</v>
      </c>
      <c r="E25" s="11" t="s">
        <v>138</v>
      </c>
      <c r="F25" s="11" t="s">
        <v>96</v>
      </c>
      <c r="G25" s="11" t="n">
        <v>3</v>
      </c>
      <c r="H25" s="11" t="s">
        <v>120</v>
      </c>
      <c r="I25" s="11" t="s">
        <v>121</v>
      </c>
      <c r="J25" s="11" t="n">
        <f aca="false">COUNTIF($H$2:$H$326,A25)</f>
        <v>5</v>
      </c>
      <c r="K25" s="11" t="s">
        <v>55</v>
      </c>
      <c r="L25" s="14"/>
      <c r="M25" s="11" t="s">
        <v>139</v>
      </c>
    </row>
    <row r="26" customFormat="false" ht="15" hidden="false" customHeight="true" outlineLevel="0" collapsed="false">
      <c r="A26" s="11" t="s">
        <v>140</v>
      </c>
      <c r="B26" s="12"/>
      <c r="C26" s="11" t="s">
        <v>52</v>
      </c>
      <c r="D26" s="11" t="s">
        <v>141</v>
      </c>
      <c r="E26" s="11" t="s">
        <v>142</v>
      </c>
      <c r="F26" s="11" t="s">
        <v>96</v>
      </c>
      <c r="G26" s="11" t="n">
        <v>4</v>
      </c>
      <c r="H26" s="11" t="s">
        <v>136</v>
      </c>
      <c r="I26" s="11" t="s">
        <v>137</v>
      </c>
      <c r="J26" s="11" t="n">
        <f aca="false">COUNTIF($H$2:$H$326,A26)</f>
        <v>0</v>
      </c>
      <c r="K26" s="11" t="s">
        <v>63</v>
      </c>
      <c r="L26" s="14"/>
      <c r="M26" s="11" t="s">
        <v>143</v>
      </c>
    </row>
    <row r="27" customFormat="false" ht="15" hidden="false" customHeight="true" outlineLevel="0" collapsed="false">
      <c r="A27" s="11" t="s">
        <v>144</v>
      </c>
      <c r="B27" s="12"/>
      <c r="C27" s="11" t="s">
        <v>52</v>
      </c>
      <c r="D27" s="11" t="s">
        <v>145</v>
      </c>
      <c r="E27" s="11" t="s">
        <v>142</v>
      </c>
      <c r="F27" s="11" t="s">
        <v>96</v>
      </c>
      <c r="G27" s="11" t="n">
        <v>4</v>
      </c>
      <c r="H27" s="11" t="s">
        <v>136</v>
      </c>
      <c r="I27" s="11" t="s">
        <v>137</v>
      </c>
      <c r="J27" s="11" t="n">
        <f aca="false">COUNTIF($H$2:$H$326,A27)</f>
        <v>0</v>
      </c>
      <c r="K27" s="11" t="s">
        <v>63</v>
      </c>
      <c r="L27" s="13" t="s">
        <v>72</v>
      </c>
      <c r="M27" s="11" t="s">
        <v>146</v>
      </c>
    </row>
    <row r="28" customFormat="false" ht="15" hidden="false" customHeight="true" outlineLevel="0" collapsed="false">
      <c r="A28" s="11" t="s">
        <v>147</v>
      </c>
      <c r="B28" s="12"/>
      <c r="C28" s="11" t="s">
        <v>52</v>
      </c>
      <c r="D28" s="11" t="s">
        <v>148</v>
      </c>
      <c r="E28" s="11" t="s">
        <v>142</v>
      </c>
      <c r="F28" s="11" t="s">
        <v>96</v>
      </c>
      <c r="G28" s="11" t="n">
        <v>4</v>
      </c>
      <c r="H28" s="11" t="s">
        <v>136</v>
      </c>
      <c r="I28" s="11" t="s">
        <v>137</v>
      </c>
      <c r="J28" s="11" t="n">
        <f aca="false">COUNTIF($H$2:$H$326,A28)</f>
        <v>0</v>
      </c>
      <c r="K28" s="11" t="s">
        <v>63</v>
      </c>
      <c r="L28" s="14"/>
      <c r="M28" s="11" t="s">
        <v>149</v>
      </c>
    </row>
    <row r="29" customFormat="false" ht="15" hidden="false" customHeight="true" outlineLevel="0" collapsed="false">
      <c r="A29" s="11" t="s">
        <v>150</v>
      </c>
      <c r="B29" s="12"/>
      <c r="C29" s="11" t="s">
        <v>52</v>
      </c>
      <c r="D29" s="11" t="s">
        <v>151</v>
      </c>
      <c r="E29" s="11" t="s">
        <v>152</v>
      </c>
      <c r="F29" s="11" t="s">
        <v>96</v>
      </c>
      <c r="G29" s="11" t="n">
        <v>4</v>
      </c>
      <c r="H29" s="11" t="s">
        <v>136</v>
      </c>
      <c r="I29" s="11" t="s">
        <v>137</v>
      </c>
      <c r="J29" s="11" t="n">
        <f aca="false">COUNTIF($H$2:$H$326,A29)</f>
        <v>0</v>
      </c>
      <c r="K29" s="11" t="s">
        <v>63</v>
      </c>
      <c r="L29" s="14"/>
      <c r="M29" s="11" t="s">
        <v>153</v>
      </c>
    </row>
    <row r="30" customFormat="false" ht="15" hidden="false" customHeight="true" outlineLevel="0" collapsed="false">
      <c r="A30" s="11" t="s">
        <v>154</v>
      </c>
      <c r="B30" s="12"/>
      <c r="C30" s="11" t="s">
        <v>52</v>
      </c>
      <c r="D30" s="11" t="s">
        <v>155</v>
      </c>
      <c r="E30" s="11" t="s">
        <v>156</v>
      </c>
      <c r="F30" s="11" t="s">
        <v>96</v>
      </c>
      <c r="G30" s="11" t="n">
        <v>4</v>
      </c>
      <c r="H30" s="11" t="s">
        <v>136</v>
      </c>
      <c r="I30" s="11" t="s">
        <v>137</v>
      </c>
      <c r="J30" s="11" t="n">
        <f aca="false">COUNTIF($H$2:$H$326,A30)</f>
        <v>2</v>
      </c>
      <c r="K30" s="11" t="s">
        <v>55</v>
      </c>
      <c r="L30" s="14"/>
      <c r="M30" s="11" t="s">
        <v>157</v>
      </c>
    </row>
    <row r="31" customFormat="false" ht="15" hidden="false" customHeight="true" outlineLevel="0" collapsed="false">
      <c r="A31" s="11" t="s">
        <v>158</v>
      </c>
      <c r="B31" s="12"/>
      <c r="C31" s="11" t="s">
        <v>52</v>
      </c>
      <c r="D31" s="11" t="s">
        <v>159</v>
      </c>
      <c r="E31" s="11" t="s">
        <v>160</v>
      </c>
      <c r="F31" s="11" t="s">
        <v>96</v>
      </c>
      <c r="G31" s="11" t="n">
        <v>5</v>
      </c>
      <c r="H31" s="11" t="s">
        <v>154</v>
      </c>
      <c r="I31" s="11" t="s">
        <v>155</v>
      </c>
      <c r="J31" s="11" t="n">
        <f aca="false">COUNTIF($H$2:$H$326,A31)</f>
        <v>0</v>
      </c>
      <c r="K31" s="11" t="s">
        <v>63</v>
      </c>
      <c r="L31" s="13" t="s">
        <v>161</v>
      </c>
      <c r="M31" s="11" t="s">
        <v>162</v>
      </c>
    </row>
    <row r="32" customFormat="false" ht="15" hidden="false" customHeight="true" outlineLevel="0" collapsed="false">
      <c r="A32" s="11" t="s">
        <v>163</v>
      </c>
      <c r="B32" s="12"/>
      <c r="C32" s="11" t="s">
        <v>52</v>
      </c>
      <c r="D32" s="11" t="s">
        <v>164</v>
      </c>
      <c r="E32" s="11" t="s">
        <v>160</v>
      </c>
      <c r="F32" s="11" t="s">
        <v>96</v>
      </c>
      <c r="G32" s="11" t="n">
        <v>5</v>
      </c>
      <c r="H32" s="11" t="s">
        <v>154</v>
      </c>
      <c r="I32" s="11" t="s">
        <v>155</v>
      </c>
      <c r="J32" s="11" t="n">
        <f aca="false">COUNTIF($H$2:$H$326,A32)</f>
        <v>0</v>
      </c>
      <c r="K32" s="11" t="s">
        <v>63</v>
      </c>
      <c r="L32" s="13" t="s">
        <v>161</v>
      </c>
      <c r="M32" s="11" t="s">
        <v>165</v>
      </c>
    </row>
    <row r="33" customFormat="false" ht="15" hidden="false" customHeight="true" outlineLevel="0" collapsed="false">
      <c r="A33" s="11" t="s">
        <v>166</v>
      </c>
      <c r="B33" s="12"/>
      <c r="C33" s="11" t="s">
        <v>52</v>
      </c>
      <c r="D33" s="11" t="s">
        <v>167</v>
      </c>
      <c r="E33" s="11" t="s">
        <v>168</v>
      </c>
      <c r="F33" s="11" t="s">
        <v>96</v>
      </c>
      <c r="G33" s="11" t="n">
        <v>3</v>
      </c>
      <c r="H33" s="11" t="s">
        <v>120</v>
      </c>
      <c r="I33" s="11" t="s">
        <v>121</v>
      </c>
      <c r="J33" s="11" t="n">
        <f aca="false">COUNTIF($H$2:$H$326,A33)</f>
        <v>0</v>
      </c>
      <c r="K33" s="11" t="s">
        <v>63</v>
      </c>
      <c r="L33" s="14"/>
      <c r="M33" s="11" t="s">
        <v>169</v>
      </c>
    </row>
    <row r="34" customFormat="false" ht="15" hidden="false" customHeight="true" outlineLevel="0" collapsed="false">
      <c r="A34" s="11" t="s">
        <v>170</v>
      </c>
      <c r="B34" s="12"/>
      <c r="C34" s="11" t="s">
        <v>52</v>
      </c>
      <c r="D34" s="11" t="s">
        <v>171</v>
      </c>
      <c r="E34" s="11" t="s">
        <v>134</v>
      </c>
      <c r="F34" s="11" t="s">
        <v>96</v>
      </c>
      <c r="G34" s="11" t="n">
        <v>3</v>
      </c>
      <c r="H34" s="11" t="s">
        <v>120</v>
      </c>
      <c r="I34" s="11" t="s">
        <v>121</v>
      </c>
      <c r="J34" s="11" t="n">
        <f aca="false">COUNTIF($H$2:$H$326,A34)</f>
        <v>0</v>
      </c>
      <c r="K34" s="11" t="s">
        <v>63</v>
      </c>
      <c r="L34" s="13" t="s">
        <v>72</v>
      </c>
      <c r="M34" s="11" t="s">
        <v>172</v>
      </c>
    </row>
    <row r="35" customFormat="false" ht="15" hidden="false" customHeight="true" outlineLevel="0" collapsed="false">
      <c r="A35" s="11" t="s">
        <v>173</v>
      </c>
      <c r="B35" s="12"/>
      <c r="C35" s="11" t="s">
        <v>52</v>
      </c>
      <c r="D35" s="11" t="s">
        <v>174</v>
      </c>
      <c r="E35" s="11" t="s">
        <v>134</v>
      </c>
      <c r="F35" s="11" t="s">
        <v>96</v>
      </c>
      <c r="G35" s="11" t="n">
        <v>3</v>
      </c>
      <c r="H35" s="11" t="s">
        <v>120</v>
      </c>
      <c r="I35" s="11" t="s">
        <v>121</v>
      </c>
      <c r="J35" s="11" t="n">
        <f aca="false">COUNTIF($H$2:$H$326,A35)</f>
        <v>0</v>
      </c>
      <c r="K35" s="11" t="s">
        <v>63</v>
      </c>
      <c r="L35" s="14"/>
      <c r="M35" s="11" t="s">
        <v>175</v>
      </c>
    </row>
    <row r="36" customFormat="false" ht="15" hidden="false" customHeight="true" outlineLevel="0" collapsed="false">
      <c r="A36" s="11" t="s">
        <v>176</v>
      </c>
      <c r="B36" s="12"/>
      <c r="C36" s="11" t="s">
        <v>52</v>
      </c>
      <c r="D36" s="11" t="s">
        <v>177</v>
      </c>
      <c r="E36" s="11" t="s">
        <v>168</v>
      </c>
      <c r="F36" s="11" t="s">
        <v>96</v>
      </c>
      <c r="G36" s="11" t="n">
        <v>3</v>
      </c>
      <c r="H36" s="11" t="s">
        <v>120</v>
      </c>
      <c r="I36" s="11" t="s">
        <v>121</v>
      </c>
      <c r="J36" s="11" t="n">
        <f aca="false">COUNTIF($H$2:$H$326,A36)</f>
        <v>0</v>
      </c>
      <c r="K36" s="11" t="s">
        <v>63</v>
      </c>
      <c r="L36" s="14"/>
      <c r="M36" s="11" t="s">
        <v>178</v>
      </c>
    </row>
    <row r="37" customFormat="false" ht="15" hidden="false" customHeight="true" outlineLevel="0" collapsed="false">
      <c r="A37" s="11" t="s">
        <v>179</v>
      </c>
      <c r="B37" s="12"/>
      <c r="C37" s="11" t="s">
        <v>52</v>
      </c>
      <c r="D37" s="11" t="s">
        <v>180</v>
      </c>
      <c r="E37" s="11" t="s">
        <v>168</v>
      </c>
      <c r="F37" s="11" t="s">
        <v>96</v>
      </c>
      <c r="G37" s="11" t="n">
        <v>3</v>
      </c>
      <c r="H37" s="11" t="s">
        <v>120</v>
      </c>
      <c r="I37" s="11" t="s">
        <v>121</v>
      </c>
      <c r="J37" s="11" t="n">
        <f aca="false">COUNTIF($H$2:$H$326,A37)</f>
        <v>0</v>
      </c>
      <c r="K37" s="11" t="s">
        <v>63</v>
      </c>
      <c r="L37" s="13" t="s">
        <v>105</v>
      </c>
      <c r="M37" s="11" t="s">
        <v>181</v>
      </c>
    </row>
    <row r="38" customFormat="false" ht="15" hidden="false" customHeight="true" outlineLevel="0" collapsed="false">
      <c r="A38" s="11" t="s">
        <v>182</v>
      </c>
      <c r="B38" s="12"/>
      <c r="C38" s="11" t="s">
        <v>52</v>
      </c>
      <c r="D38" s="11" t="s">
        <v>183</v>
      </c>
      <c r="E38" s="11" t="s">
        <v>134</v>
      </c>
      <c r="F38" s="11" t="s">
        <v>96</v>
      </c>
      <c r="G38" s="11" t="n">
        <v>3</v>
      </c>
      <c r="H38" s="11" t="s">
        <v>120</v>
      </c>
      <c r="I38" s="11" t="s">
        <v>121</v>
      </c>
      <c r="J38" s="11" t="n">
        <f aca="false">COUNTIF($H$2:$H$326,A38)</f>
        <v>0</v>
      </c>
      <c r="K38" s="11" t="s">
        <v>63</v>
      </c>
      <c r="L38" s="13" t="s">
        <v>72</v>
      </c>
      <c r="M38" s="11" t="s">
        <v>184</v>
      </c>
    </row>
    <row r="39" customFormat="false" ht="23.25" hidden="false" customHeight="true" outlineLevel="0" collapsed="false">
      <c r="A39" s="11" t="s">
        <v>185</v>
      </c>
      <c r="B39" s="12"/>
      <c r="C39" s="11" t="s">
        <v>52</v>
      </c>
      <c r="D39" s="11" t="s">
        <v>186</v>
      </c>
      <c r="E39" s="11" t="s">
        <v>168</v>
      </c>
      <c r="F39" s="11" t="s">
        <v>96</v>
      </c>
      <c r="G39" s="11" t="n">
        <v>3</v>
      </c>
      <c r="H39" s="11" t="s">
        <v>120</v>
      </c>
      <c r="I39" s="11" t="s">
        <v>121</v>
      </c>
      <c r="J39" s="11" t="n">
        <f aca="false">COUNTIF($H$2:$H$326,A39)</f>
        <v>0</v>
      </c>
      <c r="K39" s="11" t="s">
        <v>63</v>
      </c>
      <c r="L39" s="13" t="s">
        <v>187</v>
      </c>
      <c r="M39" s="11" t="s">
        <v>188</v>
      </c>
    </row>
    <row r="40" customFormat="false" ht="15" hidden="false" customHeight="true" outlineLevel="0" collapsed="false">
      <c r="A40" s="11" t="s">
        <v>189</v>
      </c>
      <c r="B40" s="12"/>
      <c r="C40" s="11" t="s">
        <v>52</v>
      </c>
      <c r="D40" s="11" t="s">
        <v>190</v>
      </c>
      <c r="E40" s="11" t="s">
        <v>168</v>
      </c>
      <c r="F40" s="11" t="s">
        <v>96</v>
      </c>
      <c r="G40" s="11" t="n">
        <v>3</v>
      </c>
      <c r="H40" s="11" t="s">
        <v>120</v>
      </c>
      <c r="I40" s="11" t="s">
        <v>121</v>
      </c>
      <c r="J40" s="11" t="n">
        <f aca="false">COUNTIF($H$2:$H$326,A40)</f>
        <v>0</v>
      </c>
      <c r="K40" s="11" t="s">
        <v>63</v>
      </c>
      <c r="L40" s="13" t="s">
        <v>72</v>
      </c>
      <c r="M40" s="11" t="s">
        <v>191</v>
      </c>
    </row>
    <row r="41" customFormat="false" ht="15" hidden="false" customHeight="true" outlineLevel="0" collapsed="false">
      <c r="A41" s="11" t="s">
        <v>192</v>
      </c>
      <c r="B41" s="12"/>
      <c r="C41" s="11" t="s">
        <v>52</v>
      </c>
      <c r="D41" s="11" t="s">
        <v>193</v>
      </c>
      <c r="E41" s="11" t="s">
        <v>168</v>
      </c>
      <c r="F41" s="11" t="s">
        <v>96</v>
      </c>
      <c r="G41" s="11" t="n">
        <v>3</v>
      </c>
      <c r="H41" s="11" t="s">
        <v>120</v>
      </c>
      <c r="I41" s="11" t="s">
        <v>121</v>
      </c>
      <c r="J41" s="11" t="n">
        <f aca="false">COUNTIF($H$2:$H$326,A41)</f>
        <v>0</v>
      </c>
      <c r="K41" s="11" t="s">
        <v>63</v>
      </c>
      <c r="L41" s="14"/>
      <c r="M41" s="11" t="s">
        <v>194</v>
      </c>
    </row>
    <row r="42" customFormat="false" ht="23.25" hidden="false" customHeight="true" outlineLevel="0" collapsed="false">
      <c r="A42" s="11" t="s">
        <v>195</v>
      </c>
      <c r="B42" s="12"/>
      <c r="C42" s="11" t="s">
        <v>52</v>
      </c>
      <c r="D42" s="11" t="s">
        <v>196</v>
      </c>
      <c r="E42" s="11" t="s">
        <v>168</v>
      </c>
      <c r="F42" s="11" t="s">
        <v>96</v>
      </c>
      <c r="G42" s="11" t="n">
        <v>3</v>
      </c>
      <c r="H42" s="11" t="s">
        <v>120</v>
      </c>
      <c r="I42" s="11" t="s">
        <v>121</v>
      </c>
      <c r="J42" s="11" t="n">
        <f aca="false">COUNTIF($H$2:$H$326,A42)</f>
        <v>0</v>
      </c>
      <c r="K42" s="11" t="s">
        <v>63</v>
      </c>
      <c r="L42" s="13" t="s">
        <v>187</v>
      </c>
      <c r="M42" s="11" t="s">
        <v>197</v>
      </c>
    </row>
    <row r="43" customFormat="false" ht="15" hidden="false" customHeight="true" outlineLevel="0" collapsed="false">
      <c r="A43" s="11" t="s">
        <v>198</v>
      </c>
      <c r="B43" s="12"/>
      <c r="C43" s="11" t="s">
        <v>52</v>
      </c>
      <c r="D43" s="11" t="s">
        <v>199</v>
      </c>
      <c r="E43" s="11" t="s">
        <v>168</v>
      </c>
      <c r="F43" s="11" t="s">
        <v>96</v>
      </c>
      <c r="G43" s="11" t="n">
        <v>3</v>
      </c>
      <c r="H43" s="11" t="s">
        <v>120</v>
      </c>
      <c r="I43" s="11" t="s">
        <v>121</v>
      </c>
      <c r="J43" s="11" t="n">
        <f aca="false">COUNTIF($H$2:$H$326,A43)</f>
        <v>0</v>
      </c>
      <c r="K43" s="11" t="s">
        <v>63</v>
      </c>
      <c r="L43" s="13" t="s">
        <v>72</v>
      </c>
      <c r="M43" s="11" t="s">
        <v>200</v>
      </c>
    </row>
    <row r="44" customFormat="false" ht="15" hidden="false" customHeight="true" outlineLevel="0" collapsed="false">
      <c r="A44" s="11" t="s">
        <v>201</v>
      </c>
      <c r="B44" s="12"/>
      <c r="C44" s="11" t="s">
        <v>52</v>
      </c>
      <c r="D44" s="11" t="s">
        <v>202</v>
      </c>
      <c r="E44" s="11" t="s">
        <v>203</v>
      </c>
      <c r="F44" s="11" t="s">
        <v>96</v>
      </c>
      <c r="G44" s="11" t="n">
        <v>3</v>
      </c>
      <c r="H44" s="11" t="s">
        <v>120</v>
      </c>
      <c r="I44" s="11" t="s">
        <v>121</v>
      </c>
      <c r="J44" s="11" t="n">
        <f aca="false">COUNTIF($H$2:$H$326,A44)</f>
        <v>0</v>
      </c>
      <c r="K44" s="11" t="s">
        <v>63</v>
      </c>
      <c r="L44" s="14"/>
      <c r="M44" s="11" t="s">
        <v>204</v>
      </c>
    </row>
    <row r="45" customFormat="false" ht="15" hidden="false" customHeight="true" outlineLevel="0" collapsed="false">
      <c r="A45" s="11" t="s">
        <v>205</v>
      </c>
      <c r="B45" s="12"/>
      <c r="C45" s="11" t="s">
        <v>52</v>
      </c>
      <c r="D45" s="11" t="s">
        <v>206</v>
      </c>
      <c r="E45" s="11" t="s">
        <v>168</v>
      </c>
      <c r="F45" s="11" t="s">
        <v>96</v>
      </c>
      <c r="G45" s="11" t="n">
        <v>3</v>
      </c>
      <c r="H45" s="11" t="s">
        <v>120</v>
      </c>
      <c r="I45" s="11" t="s">
        <v>121</v>
      </c>
      <c r="J45" s="11" t="n">
        <f aca="false">COUNTIF($H$2:$H$326,A45)</f>
        <v>0</v>
      </c>
      <c r="K45" s="11" t="s">
        <v>63</v>
      </c>
      <c r="L45" s="14"/>
      <c r="M45" s="11" t="s">
        <v>207</v>
      </c>
    </row>
    <row r="46" customFormat="false" ht="15" hidden="false" customHeight="true" outlineLevel="0" collapsed="false">
      <c r="A46" s="11" t="s">
        <v>208</v>
      </c>
      <c r="B46" s="12"/>
      <c r="C46" s="11" t="s">
        <v>52</v>
      </c>
      <c r="D46" s="11" t="s">
        <v>209</v>
      </c>
      <c r="E46" s="11" t="s">
        <v>122</v>
      </c>
      <c r="F46" s="11" t="s">
        <v>96</v>
      </c>
      <c r="G46" s="11" t="n">
        <v>2</v>
      </c>
      <c r="H46" s="11" t="s">
        <v>44</v>
      </c>
      <c r="I46" s="11" t="s">
        <v>47</v>
      </c>
      <c r="J46" s="11" t="n">
        <f aca="false">COUNTIF($H$2:$H$326,A46)</f>
        <v>2</v>
      </c>
      <c r="K46" s="11" t="s">
        <v>55</v>
      </c>
      <c r="L46" s="14"/>
      <c r="M46" s="11" t="s">
        <v>210</v>
      </c>
    </row>
    <row r="47" customFormat="false" ht="15" hidden="false" customHeight="true" outlineLevel="0" collapsed="false">
      <c r="A47" s="11" t="s">
        <v>211</v>
      </c>
      <c r="B47" s="12"/>
      <c r="C47" s="11" t="s">
        <v>52</v>
      </c>
      <c r="D47" s="11" t="s">
        <v>212</v>
      </c>
      <c r="E47" s="11" t="s">
        <v>213</v>
      </c>
      <c r="F47" s="11" t="s">
        <v>96</v>
      </c>
      <c r="G47" s="11" t="n">
        <v>3</v>
      </c>
      <c r="H47" s="11" t="s">
        <v>208</v>
      </c>
      <c r="I47" s="11" t="s">
        <v>209</v>
      </c>
      <c r="J47" s="11" t="n">
        <f aca="false">COUNTIF($H$2:$H$326,A47)</f>
        <v>5</v>
      </c>
      <c r="K47" s="11" t="s">
        <v>55</v>
      </c>
      <c r="L47" s="13" t="s">
        <v>161</v>
      </c>
      <c r="M47" s="11" t="s">
        <v>214</v>
      </c>
    </row>
    <row r="48" customFormat="false" ht="15" hidden="false" customHeight="true" outlineLevel="0" collapsed="false">
      <c r="A48" s="11" t="s">
        <v>215</v>
      </c>
      <c r="B48" s="12"/>
      <c r="C48" s="11" t="s">
        <v>52</v>
      </c>
      <c r="D48" s="11" t="s">
        <v>216</v>
      </c>
      <c r="E48" s="11" t="s">
        <v>134</v>
      </c>
      <c r="F48" s="11" t="s">
        <v>96</v>
      </c>
      <c r="G48" s="11" t="n">
        <v>4</v>
      </c>
      <c r="H48" s="11" t="s">
        <v>211</v>
      </c>
      <c r="I48" s="11" t="s">
        <v>212</v>
      </c>
      <c r="J48" s="11" t="n">
        <f aca="false">COUNTIF($H$2:$H$326,A48)</f>
        <v>0</v>
      </c>
      <c r="K48" s="11" t="s">
        <v>63</v>
      </c>
      <c r="L48" s="14"/>
      <c r="M48" s="11" t="s">
        <v>217</v>
      </c>
    </row>
    <row r="49" customFormat="false" ht="15" hidden="false" customHeight="true" outlineLevel="0" collapsed="false">
      <c r="A49" s="11" t="s">
        <v>218</v>
      </c>
      <c r="B49" s="12"/>
      <c r="C49" s="11" t="s">
        <v>52</v>
      </c>
      <c r="D49" s="11" t="s">
        <v>219</v>
      </c>
      <c r="E49" s="11" t="s">
        <v>168</v>
      </c>
      <c r="F49" s="11" t="s">
        <v>96</v>
      </c>
      <c r="G49" s="11" t="n">
        <v>4</v>
      </c>
      <c r="H49" s="11" t="s">
        <v>211</v>
      </c>
      <c r="I49" s="11" t="s">
        <v>212</v>
      </c>
      <c r="J49" s="11" t="n">
        <f aca="false">COUNTIF($H$2:$H$326,A49)</f>
        <v>0</v>
      </c>
      <c r="K49" s="11" t="s">
        <v>63</v>
      </c>
      <c r="L49" s="13" t="s">
        <v>72</v>
      </c>
      <c r="M49" s="11" t="s">
        <v>220</v>
      </c>
    </row>
    <row r="50" customFormat="false" ht="15" hidden="false" customHeight="true" outlineLevel="0" collapsed="false">
      <c r="A50" s="11" t="s">
        <v>221</v>
      </c>
      <c r="B50" s="12"/>
      <c r="C50" s="11" t="s">
        <v>52</v>
      </c>
      <c r="D50" s="11" t="s">
        <v>222</v>
      </c>
      <c r="E50" s="11" t="s">
        <v>168</v>
      </c>
      <c r="F50" s="11" t="s">
        <v>96</v>
      </c>
      <c r="G50" s="11" t="n">
        <v>4</v>
      </c>
      <c r="H50" s="11" t="s">
        <v>211</v>
      </c>
      <c r="I50" s="11" t="s">
        <v>212</v>
      </c>
      <c r="J50" s="11" t="n">
        <f aca="false">COUNTIF($H$2:$H$326,A50)</f>
        <v>0</v>
      </c>
      <c r="K50" s="11" t="s">
        <v>63</v>
      </c>
      <c r="L50" s="14"/>
      <c r="M50" s="11" t="s">
        <v>223</v>
      </c>
    </row>
    <row r="51" customFormat="false" ht="15" hidden="false" customHeight="true" outlineLevel="0" collapsed="false">
      <c r="A51" s="11" t="s">
        <v>224</v>
      </c>
      <c r="B51" s="12"/>
      <c r="C51" s="11" t="s">
        <v>52</v>
      </c>
      <c r="D51" s="11" t="s">
        <v>225</v>
      </c>
      <c r="E51" s="11" t="s">
        <v>168</v>
      </c>
      <c r="F51" s="11" t="s">
        <v>96</v>
      </c>
      <c r="G51" s="11" t="n">
        <v>4</v>
      </c>
      <c r="H51" s="11" t="s">
        <v>211</v>
      </c>
      <c r="I51" s="11" t="s">
        <v>212</v>
      </c>
      <c r="J51" s="11" t="n">
        <f aca="false">COUNTIF($H$2:$H$326,A51)</f>
        <v>1</v>
      </c>
      <c r="K51" s="11" t="s">
        <v>55</v>
      </c>
      <c r="L51" s="13" t="s">
        <v>161</v>
      </c>
      <c r="M51" s="11" t="s">
        <v>226</v>
      </c>
    </row>
    <row r="52" customFormat="false" ht="15" hidden="false" customHeight="true" outlineLevel="0" collapsed="false">
      <c r="A52" s="11" t="s">
        <v>227</v>
      </c>
      <c r="B52" s="12"/>
      <c r="C52" s="11" t="s">
        <v>52</v>
      </c>
      <c r="D52" s="11" t="s">
        <v>228</v>
      </c>
      <c r="E52" s="11" t="s">
        <v>168</v>
      </c>
      <c r="F52" s="11" t="s">
        <v>96</v>
      </c>
      <c r="G52" s="11" t="n">
        <v>5</v>
      </c>
      <c r="H52" s="11" t="s">
        <v>224</v>
      </c>
      <c r="I52" s="11" t="s">
        <v>225</v>
      </c>
      <c r="J52" s="11" t="n">
        <f aca="false">COUNTIF($H$2:$H$326,A52)</f>
        <v>0</v>
      </c>
      <c r="K52" s="11" t="s">
        <v>63</v>
      </c>
      <c r="L52" s="14"/>
      <c r="M52" s="11" t="s">
        <v>229</v>
      </c>
    </row>
    <row r="53" customFormat="false" ht="15" hidden="false" customHeight="true" outlineLevel="0" collapsed="false">
      <c r="A53" s="11" t="s">
        <v>230</v>
      </c>
      <c r="B53" s="12"/>
      <c r="C53" s="11" t="s">
        <v>52</v>
      </c>
      <c r="D53" s="11" t="s">
        <v>231</v>
      </c>
      <c r="E53" s="11" t="s">
        <v>168</v>
      </c>
      <c r="F53" s="11" t="s">
        <v>96</v>
      </c>
      <c r="G53" s="11" t="n">
        <v>4</v>
      </c>
      <c r="H53" s="11" t="s">
        <v>211</v>
      </c>
      <c r="I53" s="11" t="s">
        <v>212</v>
      </c>
      <c r="J53" s="11" t="n">
        <f aca="false">COUNTIF($H$2:$H$326,A53)</f>
        <v>0</v>
      </c>
      <c r="K53" s="11" t="s">
        <v>63</v>
      </c>
      <c r="L53" s="13" t="s">
        <v>161</v>
      </c>
      <c r="M53" s="11" t="s">
        <v>232</v>
      </c>
    </row>
    <row r="54" customFormat="false" ht="15" hidden="false" customHeight="true" outlineLevel="0" collapsed="false">
      <c r="A54" s="11" t="s">
        <v>233</v>
      </c>
      <c r="B54" s="12"/>
      <c r="C54" s="11" t="s">
        <v>52</v>
      </c>
      <c r="D54" s="11" t="s">
        <v>234</v>
      </c>
      <c r="E54" s="11" t="s">
        <v>235</v>
      </c>
      <c r="F54" s="11" t="s">
        <v>96</v>
      </c>
      <c r="G54" s="11" t="n">
        <v>3</v>
      </c>
      <c r="H54" s="11" t="s">
        <v>208</v>
      </c>
      <c r="I54" s="11" t="s">
        <v>209</v>
      </c>
      <c r="J54" s="11" t="n">
        <f aca="false">COUNTIF($H$2:$H$326,A54)</f>
        <v>5</v>
      </c>
      <c r="K54" s="11" t="s">
        <v>55</v>
      </c>
      <c r="L54" s="14"/>
      <c r="M54" s="11" t="s">
        <v>236</v>
      </c>
    </row>
    <row r="55" customFormat="false" ht="15" hidden="false" customHeight="true" outlineLevel="0" collapsed="false">
      <c r="A55" s="11" t="s">
        <v>237</v>
      </c>
      <c r="B55" s="12"/>
      <c r="C55" s="11" t="s">
        <v>52</v>
      </c>
      <c r="D55" s="11" t="s">
        <v>238</v>
      </c>
      <c r="E55" s="11" t="s">
        <v>239</v>
      </c>
      <c r="F55" s="11" t="s">
        <v>96</v>
      </c>
      <c r="G55" s="11" t="n">
        <v>4</v>
      </c>
      <c r="H55" s="11" t="s">
        <v>233</v>
      </c>
      <c r="I55" s="11" t="s">
        <v>234</v>
      </c>
      <c r="J55" s="11" t="n">
        <f aca="false">COUNTIF($H$2:$H$326,A55)</f>
        <v>0</v>
      </c>
      <c r="K55" s="11" t="s">
        <v>63</v>
      </c>
      <c r="L55" s="14"/>
      <c r="M55" s="11" t="s">
        <v>240</v>
      </c>
    </row>
    <row r="56" customFormat="false" ht="15" hidden="false" customHeight="true" outlineLevel="0" collapsed="false">
      <c r="A56" s="11" t="s">
        <v>241</v>
      </c>
      <c r="B56" s="12"/>
      <c r="C56" s="11" t="s">
        <v>52</v>
      </c>
      <c r="D56" s="11" t="s">
        <v>242</v>
      </c>
      <c r="E56" s="11" t="s">
        <v>168</v>
      </c>
      <c r="F56" s="11" t="s">
        <v>96</v>
      </c>
      <c r="G56" s="11" t="n">
        <v>4</v>
      </c>
      <c r="H56" s="11" t="s">
        <v>233</v>
      </c>
      <c r="I56" s="11" t="s">
        <v>234</v>
      </c>
      <c r="J56" s="11" t="n">
        <f aca="false">COUNTIF($H$2:$H$326,A56)</f>
        <v>0</v>
      </c>
      <c r="K56" s="11" t="s">
        <v>63</v>
      </c>
      <c r="L56" s="14"/>
      <c r="M56" s="11" t="s">
        <v>243</v>
      </c>
    </row>
    <row r="57" customFormat="false" ht="15" hidden="false" customHeight="true" outlineLevel="0" collapsed="false">
      <c r="A57" s="11" t="s">
        <v>244</v>
      </c>
      <c r="B57" s="12"/>
      <c r="C57" s="11" t="s">
        <v>52</v>
      </c>
      <c r="D57" s="11" t="s">
        <v>245</v>
      </c>
      <c r="E57" s="11" t="s">
        <v>168</v>
      </c>
      <c r="F57" s="11" t="s">
        <v>96</v>
      </c>
      <c r="G57" s="11" t="n">
        <v>4</v>
      </c>
      <c r="H57" s="11" t="s">
        <v>233</v>
      </c>
      <c r="I57" s="11" t="s">
        <v>234</v>
      </c>
      <c r="J57" s="11" t="n">
        <f aca="false">COUNTIF($H$2:$H$326,A57)</f>
        <v>0</v>
      </c>
      <c r="K57" s="11" t="s">
        <v>63</v>
      </c>
      <c r="L57" s="14"/>
      <c r="M57" s="11" t="s">
        <v>246</v>
      </c>
    </row>
    <row r="58" customFormat="false" ht="15" hidden="false" customHeight="true" outlineLevel="0" collapsed="false">
      <c r="A58" s="11" t="s">
        <v>247</v>
      </c>
      <c r="B58" s="12"/>
      <c r="C58" s="11" t="s">
        <v>52</v>
      </c>
      <c r="D58" s="11" t="s">
        <v>248</v>
      </c>
      <c r="E58" s="11" t="s">
        <v>134</v>
      </c>
      <c r="F58" s="11" t="s">
        <v>96</v>
      </c>
      <c r="G58" s="11" t="n">
        <v>4</v>
      </c>
      <c r="H58" s="11" t="s">
        <v>233</v>
      </c>
      <c r="I58" s="11" t="s">
        <v>234</v>
      </c>
      <c r="J58" s="11" t="n">
        <f aca="false">COUNTIF($H$2:$H$326,A58)</f>
        <v>1</v>
      </c>
      <c r="K58" s="11" t="s">
        <v>55</v>
      </c>
      <c r="L58" s="14"/>
      <c r="M58" s="11" t="s">
        <v>249</v>
      </c>
    </row>
    <row r="59" customFormat="false" ht="15" hidden="false" customHeight="true" outlineLevel="0" collapsed="false">
      <c r="A59" s="11" t="s">
        <v>250</v>
      </c>
      <c r="B59" s="12"/>
      <c r="C59" s="11" t="s">
        <v>52</v>
      </c>
      <c r="D59" s="11" t="s">
        <v>251</v>
      </c>
      <c r="E59" s="11" t="s">
        <v>168</v>
      </c>
      <c r="F59" s="11" t="s">
        <v>96</v>
      </c>
      <c r="G59" s="11" t="n">
        <v>5</v>
      </c>
      <c r="H59" s="11" t="s">
        <v>247</v>
      </c>
      <c r="I59" s="11" t="s">
        <v>248</v>
      </c>
      <c r="J59" s="11" t="n">
        <f aca="false">COUNTIF($H$2:$H$326,A59)</f>
        <v>0</v>
      </c>
      <c r="K59" s="11" t="s">
        <v>63</v>
      </c>
      <c r="L59" s="14"/>
      <c r="M59" s="11" t="s">
        <v>252</v>
      </c>
    </row>
    <row r="60" customFormat="false" ht="15" hidden="false" customHeight="true" outlineLevel="0" collapsed="false">
      <c r="A60" s="11" t="s">
        <v>253</v>
      </c>
      <c r="B60" s="12"/>
      <c r="C60" s="11" t="s">
        <v>52</v>
      </c>
      <c r="D60" s="11" t="s">
        <v>254</v>
      </c>
      <c r="E60" s="11" t="s">
        <v>255</v>
      </c>
      <c r="F60" s="11" t="s">
        <v>96</v>
      </c>
      <c r="G60" s="11" t="n">
        <v>4</v>
      </c>
      <c r="H60" s="11" t="s">
        <v>233</v>
      </c>
      <c r="I60" s="11" t="s">
        <v>234</v>
      </c>
      <c r="J60" s="11" t="n">
        <f aca="false">COUNTIF($H$2:$H$326,A60)</f>
        <v>0</v>
      </c>
      <c r="K60" s="11" t="s">
        <v>63</v>
      </c>
      <c r="L60" s="14"/>
      <c r="M60" s="11" t="s">
        <v>256</v>
      </c>
    </row>
    <row r="61" customFormat="false" ht="15" hidden="false" customHeight="true" outlineLevel="0" collapsed="false">
      <c r="A61" s="11" t="s">
        <v>257</v>
      </c>
      <c r="B61" s="12"/>
      <c r="C61" s="11" t="s">
        <v>52</v>
      </c>
      <c r="D61" s="11" t="s">
        <v>258</v>
      </c>
      <c r="E61" s="11" t="s">
        <v>259</v>
      </c>
      <c r="F61" s="11" t="s">
        <v>96</v>
      </c>
      <c r="G61" s="11" t="n">
        <v>2</v>
      </c>
      <c r="H61" s="11" t="s">
        <v>44</v>
      </c>
      <c r="I61" s="11" t="s">
        <v>47</v>
      </c>
      <c r="J61" s="11" t="n">
        <f aca="false">COUNTIF($H$2:$H$326,A61)</f>
        <v>6</v>
      </c>
      <c r="K61" s="11" t="s">
        <v>55</v>
      </c>
      <c r="L61" s="14"/>
      <c r="M61" s="11" t="s">
        <v>260</v>
      </c>
    </row>
    <row r="62" customFormat="false" ht="15" hidden="false" customHeight="true" outlineLevel="0" collapsed="false">
      <c r="A62" s="11" t="s">
        <v>261</v>
      </c>
      <c r="B62" s="12"/>
      <c r="C62" s="11" t="s">
        <v>52</v>
      </c>
      <c r="D62" s="11" t="s">
        <v>262</v>
      </c>
      <c r="E62" s="11" t="s">
        <v>263</v>
      </c>
      <c r="F62" s="11" t="s">
        <v>96</v>
      </c>
      <c r="G62" s="11" t="n">
        <v>3</v>
      </c>
      <c r="H62" s="11" t="s">
        <v>257</v>
      </c>
      <c r="I62" s="11" t="s">
        <v>258</v>
      </c>
      <c r="J62" s="11" t="n">
        <f aca="false">COUNTIF($H$2:$H$326,A62)</f>
        <v>1</v>
      </c>
      <c r="K62" s="11" t="s">
        <v>55</v>
      </c>
      <c r="L62" s="14"/>
      <c r="M62" s="11" t="s">
        <v>264</v>
      </c>
    </row>
    <row r="63" customFormat="false" ht="15" hidden="false" customHeight="true" outlineLevel="0" collapsed="false">
      <c r="A63" s="11" t="s">
        <v>265</v>
      </c>
      <c r="B63" s="12"/>
      <c r="C63" s="11" t="s">
        <v>52</v>
      </c>
      <c r="D63" s="11" t="s">
        <v>266</v>
      </c>
      <c r="E63" s="11" t="s">
        <v>263</v>
      </c>
      <c r="F63" s="11" t="s">
        <v>96</v>
      </c>
      <c r="G63" s="11" t="n">
        <v>4</v>
      </c>
      <c r="H63" s="11" t="s">
        <v>261</v>
      </c>
      <c r="I63" s="11" t="s">
        <v>262</v>
      </c>
      <c r="J63" s="11" t="n">
        <f aca="false">COUNTIF($H$2:$H$326,A63)</f>
        <v>0</v>
      </c>
      <c r="K63" s="11" t="s">
        <v>63</v>
      </c>
      <c r="L63" s="14"/>
      <c r="M63" s="11" t="s">
        <v>267</v>
      </c>
    </row>
    <row r="64" customFormat="false" ht="15" hidden="false" customHeight="true" outlineLevel="0" collapsed="false">
      <c r="A64" s="11" t="s">
        <v>268</v>
      </c>
      <c r="B64" s="12"/>
      <c r="C64" s="11" t="s">
        <v>52</v>
      </c>
      <c r="D64" s="11" t="s">
        <v>269</v>
      </c>
      <c r="E64" s="11" t="s">
        <v>263</v>
      </c>
      <c r="F64" s="11" t="s">
        <v>96</v>
      </c>
      <c r="G64" s="11" t="n">
        <v>3</v>
      </c>
      <c r="H64" s="11" t="s">
        <v>257</v>
      </c>
      <c r="I64" s="11" t="s">
        <v>258</v>
      </c>
      <c r="J64" s="11" t="n">
        <f aca="false">COUNTIF($H$2:$H$326,A64)</f>
        <v>1</v>
      </c>
      <c r="K64" s="11" t="s">
        <v>55</v>
      </c>
      <c r="L64" s="14"/>
      <c r="M64" s="11" t="s">
        <v>270</v>
      </c>
    </row>
    <row r="65" customFormat="false" ht="15" hidden="false" customHeight="true" outlineLevel="0" collapsed="false">
      <c r="A65" s="11" t="s">
        <v>271</v>
      </c>
      <c r="B65" s="12"/>
      <c r="C65" s="11" t="s">
        <v>52</v>
      </c>
      <c r="D65" s="11" t="s">
        <v>272</v>
      </c>
      <c r="E65" s="11" t="s">
        <v>273</v>
      </c>
      <c r="F65" s="11" t="s">
        <v>96</v>
      </c>
      <c r="G65" s="11" t="n">
        <v>4</v>
      </c>
      <c r="H65" s="11" t="s">
        <v>268</v>
      </c>
      <c r="I65" s="11" t="s">
        <v>269</v>
      </c>
      <c r="J65" s="11" t="n">
        <f aca="false">COUNTIF($H$2:$H$326,A65)</f>
        <v>0</v>
      </c>
      <c r="K65" s="11" t="s">
        <v>63</v>
      </c>
      <c r="L65" s="14"/>
      <c r="M65" s="11" t="s">
        <v>274</v>
      </c>
    </row>
    <row r="66" customFormat="false" ht="15" hidden="false" customHeight="true" outlineLevel="0" collapsed="false">
      <c r="A66" s="11" t="s">
        <v>275</v>
      </c>
      <c r="B66" s="12"/>
      <c r="C66" s="11" t="s">
        <v>52</v>
      </c>
      <c r="D66" s="11" t="s">
        <v>276</v>
      </c>
      <c r="E66" s="11" t="s">
        <v>263</v>
      </c>
      <c r="F66" s="11" t="s">
        <v>96</v>
      </c>
      <c r="G66" s="11" t="n">
        <v>3</v>
      </c>
      <c r="H66" s="11" t="s">
        <v>257</v>
      </c>
      <c r="I66" s="11" t="s">
        <v>258</v>
      </c>
      <c r="J66" s="11" t="n">
        <f aca="false">COUNTIF($H$2:$H$326,A66)</f>
        <v>0</v>
      </c>
      <c r="K66" s="11" t="s">
        <v>63</v>
      </c>
      <c r="L66" s="14"/>
      <c r="M66" s="11" t="s">
        <v>277</v>
      </c>
    </row>
    <row r="67" customFormat="false" ht="15" hidden="false" customHeight="true" outlineLevel="0" collapsed="false">
      <c r="A67" s="11" t="s">
        <v>278</v>
      </c>
      <c r="B67" s="12"/>
      <c r="C67" s="11" t="s">
        <v>52</v>
      </c>
      <c r="D67" s="11" t="s">
        <v>279</v>
      </c>
      <c r="E67" s="11" t="s">
        <v>263</v>
      </c>
      <c r="F67" s="11" t="s">
        <v>96</v>
      </c>
      <c r="G67" s="11" t="n">
        <v>3</v>
      </c>
      <c r="H67" s="11" t="s">
        <v>257</v>
      </c>
      <c r="I67" s="11" t="s">
        <v>258</v>
      </c>
      <c r="J67" s="11" t="n">
        <f aca="false">COUNTIF($H$2:$H$326,A67)</f>
        <v>0</v>
      </c>
      <c r="K67" s="11" t="s">
        <v>63</v>
      </c>
      <c r="L67" s="14"/>
      <c r="M67" s="11" t="s">
        <v>280</v>
      </c>
    </row>
    <row r="68" customFormat="false" ht="15" hidden="false" customHeight="true" outlineLevel="0" collapsed="false">
      <c r="A68" s="11" t="s">
        <v>281</v>
      </c>
      <c r="B68" s="12"/>
      <c r="C68" s="11" t="s">
        <v>52</v>
      </c>
      <c r="D68" s="11" t="s">
        <v>282</v>
      </c>
      <c r="E68" s="11" t="s">
        <v>263</v>
      </c>
      <c r="F68" s="11" t="s">
        <v>96</v>
      </c>
      <c r="G68" s="11" t="n">
        <v>3</v>
      </c>
      <c r="H68" s="11" t="s">
        <v>257</v>
      </c>
      <c r="I68" s="11" t="s">
        <v>258</v>
      </c>
      <c r="J68" s="11" t="n">
        <f aca="false">COUNTIF($H$2:$H$326,A68)</f>
        <v>0</v>
      </c>
      <c r="K68" s="11" t="s">
        <v>63</v>
      </c>
      <c r="L68" s="13" t="s">
        <v>72</v>
      </c>
      <c r="M68" s="11" t="s">
        <v>283</v>
      </c>
    </row>
    <row r="69" customFormat="false" ht="15" hidden="false" customHeight="true" outlineLevel="0" collapsed="false">
      <c r="A69" s="11" t="s">
        <v>284</v>
      </c>
      <c r="B69" s="12"/>
      <c r="C69" s="11" t="s">
        <v>52</v>
      </c>
      <c r="D69" s="11" t="s">
        <v>285</v>
      </c>
      <c r="E69" s="11" t="s">
        <v>286</v>
      </c>
      <c r="F69" s="11" t="s">
        <v>96</v>
      </c>
      <c r="G69" s="11" t="n">
        <v>3</v>
      </c>
      <c r="H69" s="11" t="s">
        <v>257</v>
      </c>
      <c r="I69" s="11" t="s">
        <v>258</v>
      </c>
      <c r="J69" s="11" t="n">
        <f aca="false">COUNTIF($H$2:$H$326,A69)</f>
        <v>1</v>
      </c>
      <c r="K69" s="11" t="s">
        <v>55</v>
      </c>
      <c r="L69" s="14"/>
      <c r="M69" s="11" t="s">
        <v>287</v>
      </c>
    </row>
    <row r="70" customFormat="false" ht="15" hidden="false" customHeight="true" outlineLevel="0" collapsed="false">
      <c r="A70" s="11" t="s">
        <v>288</v>
      </c>
      <c r="B70" s="12"/>
      <c r="C70" s="11" t="s">
        <v>52</v>
      </c>
      <c r="D70" s="11" t="s">
        <v>289</v>
      </c>
      <c r="E70" s="11" t="s">
        <v>263</v>
      </c>
      <c r="F70" s="11" t="s">
        <v>96</v>
      </c>
      <c r="G70" s="11" t="n">
        <v>4</v>
      </c>
      <c r="H70" s="11" t="s">
        <v>284</v>
      </c>
      <c r="I70" s="11" t="s">
        <v>285</v>
      </c>
      <c r="J70" s="11" t="n">
        <f aca="false">COUNTIF($H$2:$H$326,A70)</f>
        <v>0</v>
      </c>
      <c r="K70" s="11" t="s">
        <v>63</v>
      </c>
      <c r="L70" s="14"/>
      <c r="M70" s="11" t="s">
        <v>290</v>
      </c>
    </row>
    <row r="71" customFormat="false" ht="15" hidden="false" customHeight="true" outlineLevel="0" collapsed="false">
      <c r="A71" s="11" t="s">
        <v>291</v>
      </c>
      <c r="B71" s="12"/>
      <c r="C71" s="11" t="s">
        <v>52</v>
      </c>
      <c r="D71" s="11" t="s">
        <v>292</v>
      </c>
      <c r="E71" s="11" t="s">
        <v>293</v>
      </c>
      <c r="F71" s="11" t="s">
        <v>96</v>
      </c>
      <c r="G71" s="11" t="n">
        <v>2</v>
      </c>
      <c r="H71" s="11" t="s">
        <v>44</v>
      </c>
      <c r="I71" s="11" t="s">
        <v>47</v>
      </c>
      <c r="J71" s="11" t="n">
        <f aca="false">COUNTIF($H$2:$H$326,A71)</f>
        <v>4</v>
      </c>
      <c r="K71" s="11" t="s">
        <v>55</v>
      </c>
      <c r="L71" s="14"/>
      <c r="M71" s="11" t="s">
        <v>294</v>
      </c>
    </row>
    <row r="72" customFormat="false" ht="15" hidden="false" customHeight="true" outlineLevel="0" collapsed="false">
      <c r="A72" s="11" t="s">
        <v>295</v>
      </c>
      <c r="B72" s="12"/>
      <c r="C72" s="11" t="s">
        <v>52</v>
      </c>
      <c r="D72" s="11" t="s">
        <v>296</v>
      </c>
      <c r="E72" s="11" t="s">
        <v>297</v>
      </c>
      <c r="F72" s="11" t="s">
        <v>96</v>
      </c>
      <c r="G72" s="11" t="n">
        <v>3</v>
      </c>
      <c r="H72" s="11" t="s">
        <v>291</v>
      </c>
      <c r="I72" s="11" t="s">
        <v>292</v>
      </c>
      <c r="J72" s="11" t="n">
        <f aca="false">COUNTIF($H$2:$H$326,A72)</f>
        <v>0</v>
      </c>
      <c r="K72" s="11" t="s">
        <v>63</v>
      </c>
      <c r="L72" s="13" t="s">
        <v>105</v>
      </c>
      <c r="M72" s="11" t="s">
        <v>298</v>
      </c>
    </row>
    <row r="73" customFormat="false" ht="15" hidden="false" customHeight="true" outlineLevel="0" collapsed="false">
      <c r="A73" s="11" t="s">
        <v>299</v>
      </c>
      <c r="B73" s="12"/>
      <c r="C73" s="11" t="s">
        <v>52</v>
      </c>
      <c r="D73" s="11" t="s">
        <v>300</v>
      </c>
      <c r="E73" s="11" t="s">
        <v>301</v>
      </c>
      <c r="F73" s="11" t="s">
        <v>96</v>
      </c>
      <c r="G73" s="11" t="n">
        <v>3</v>
      </c>
      <c r="H73" s="11" t="s">
        <v>291</v>
      </c>
      <c r="I73" s="11" t="s">
        <v>292</v>
      </c>
      <c r="J73" s="11" t="n">
        <f aca="false">COUNTIF($H$2:$H$326,A73)</f>
        <v>6</v>
      </c>
      <c r="K73" s="11" t="s">
        <v>100</v>
      </c>
      <c r="L73" s="14"/>
      <c r="M73" s="11" t="s">
        <v>302</v>
      </c>
    </row>
    <row r="74" customFormat="false" ht="15" hidden="false" customHeight="true" outlineLevel="0" collapsed="false">
      <c r="A74" s="11" t="s">
        <v>303</v>
      </c>
      <c r="B74" s="12"/>
      <c r="C74" s="11" t="s">
        <v>52</v>
      </c>
      <c r="D74" s="11" t="s">
        <v>304</v>
      </c>
      <c r="E74" s="11" t="s">
        <v>168</v>
      </c>
      <c r="F74" s="11" t="s">
        <v>96</v>
      </c>
      <c r="G74" s="11" t="n">
        <v>4</v>
      </c>
      <c r="H74" s="11" t="s">
        <v>299</v>
      </c>
      <c r="I74" s="11" t="s">
        <v>300</v>
      </c>
      <c r="J74" s="11" t="n">
        <f aca="false">COUNTIF($H$2:$H$326,A74)</f>
        <v>0</v>
      </c>
      <c r="K74" s="11" t="s">
        <v>63</v>
      </c>
      <c r="L74" s="14"/>
      <c r="M74" s="11" t="s">
        <v>305</v>
      </c>
    </row>
    <row r="75" customFormat="false" ht="15" hidden="false" customHeight="true" outlineLevel="0" collapsed="false">
      <c r="A75" s="11" t="s">
        <v>306</v>
      </c>
      <c r="B75" s="12"/>
      <c r="C75" s="11" t="s">
        <v>52</v>
      </c>
      <c r="D75" s="11" t="s">
        <v>307</v>
      </c>
      <c r="E75" s="11" t="s">
        <v>168</v>
      </c>
      <c r="F75" s="11" t="s">
        <v>96</v>
      </c>
      <c r="G75" s="11" t="n">
        <v>4</v>
      </c>
      <c r="H75" s="11" t="s">
        <v>299</v>
      </c>
      <c r="I75" s="11" t="s">
        <v>300</v>
      </c>
      <c r="J75" s="11" t="n">
        <f aca="false">COUNTIF($H$2:$H$326,A75)</f>
        <v>0</v>
      </c>
      <c r="K75" s="11" t="s">
        <v>63</v>
      </c>
      <c r="L75" s="14"/>
      <c r="M75" s="11" t="s">
        <v>308</v>
      </c>
    </row>
    <row r="76" customFormat="false" ht="15" hidden="false" customHeight="true" outlineLevel="0" collapsed="false">
      <c r="A76" s="11" t="s">
        <v>309</v>
      </c>
      <c r="B76" s="12"/>
      <c r="C76" s="11" t="s">
        <v>52</v>
      </c>
      <c r="D76" s="11" t="s">
        <v>310</v>
      </c>
      <c r="E76" s="11" t="s">
        <v>168</v>
      </c>
      <c r="F76" s="11" t="s">
        <v>96</v>
      </c>
      <c r="G76" s="11" t="n">
        <v>4</v>
      </c>
      <c r="H76" s="11" t="s">
        <v>299</v>
      </c>
      <c r="I76" s="11" t="s">
        <v>300</v>
      </c>
      <c r="J76" s="11" t="n">
        <f aca="false">COUNTIF($H$2:$H$326,A76)</f>
        <v>0</v>
      </c>
      <c r="K76" s="11" t="s">
        <v>63</v>
      </c>
      <c r="L76" s="14"/>
      <c r="M76" s="11" t="s">
        <v>311</v>
      </c>
    </row>
    <row r="77" customFormat="false" ht="15" hidden="false" customHeight="true" outlineLevel="0" collapsed="false">
      <c r="A77" s="11" t="s">
        <v>312</v>
      </c>
      <c r="B77" s="12"/>
      <c r="C77" s="11" t="s">
        <v>52</v>
      </c>
      <c r="D77" s="11" t="s">
        <v>313</v>
      </c>
      <c r="E77" s="11" t="s">
        <v>168</v>
      </c>
      <c r="F77" s="11" t="s">
        <v>96</v>
      </c>
      <c r="G77" s="11" t="n">
        <v>4</v>
      </c>
      <c r="H77" s="11" t="s">
        <v>299</v>
      </c>
      <c r="I77" s="11" t="s">
        <v>300</v>
      </c>
      <c r="J77" s="11" t="n">
        <f aca="false">COUNTIF($H$2:$H$326,A77)</f>
        <v>0</v>
      </c>
      <c r="K77" s="11" t="s">
        <v>63</v>
      </c>
      <c r="L77" s="13" t="s">
        <v>72</v>
      </c>
      <c r="M77" s="11" t="s">
        <v>314</v>
      </c>
    </row>
    <row r="78" customFormat="false" ht="15" hidden="false" customHeight="true" outlineLevel="0" collapsed="false">
      <c r="A78" s="11" t="s">
        <v>315</v>
      </c>
      <c r="B78" s="12"/>
      <c r="C78" s="11" t="s">
        <v>52</v>
      </c>
      <c r="D78" s="11" t="s">
        <v>316</v>
      </c>
      <c r="E78" s="11" t="s">
        <v>168</v>
      </c>
      <c r="F78" s="11" t="s">
        <v>96</v>
      </c>
      <c r="G78" s="11" t="n">
        <v>4</v>
      </c>
      <c r="H78" s="11" t="s">
        <v>299</v>
      </c>
      <c r="I78" s="11" t="s">
        <v>300</v>
      </c>
      <c r="J78" s="11" t="n">
        <f aca="false">COUNTIF($H$2:$H$326,A78)</f>
        <v>0</v>
      </c>
      <c r="K78" s="11" t="s">
        <v>63</v>
      </c>
      <c r="L78" s="14"/>
      <c r="M78" s="11" t="s">
        <v>317</v>
      </c>
    </row>
    <row r="79" customFormat="false" ht="15" hidden="false" customHeight="true" outlineLevel="0" collapsed="false">
      <c r="A79" s="11" t="s">
        <v>318</v>
      </c>
      <c r="B79" s="12"/>
      <c r="C79" s="11" t="s">
        <v>52</v>
      </c>
      <c r="D79" s="11" t="s">
        <v>319</v>
      </c>
      <c r="E79" s="11" t="s">
        <v>168</v>
      </c>
      <c r="F79" s="11" t="s">
        <v>96</v>
      </c>
      <c r="G79" s="11" t="n">
        <v>4</v>
      </c>
      <c r="H79" s="11" t="s">
        <v>299</v>
      </c>
      <c r="I79" s="11" t="s">
        <v>300</v>
      </c>
      <c r="J79" s="11" t="n">
        <f aca="false">COUNTIF($H$2:$H$326,A79)</f>
        <v>0</v>
      </c>
      <c r="K79" s="11" t="s">
        <v>63</v>
      </c>
      <c r="L79" s="13" t="s">
        <v>161</v>
      </c>
      <c r="M79" s="11" t="s">
        <v>320</v>
      </c>
    </row>
    <row r="80" customFormat="false" ht="15" hidden="false" customHeight="true" outlineLevel="0" collapsed="false">
      <c r="A80" s="11" t="s">
        <v>321</v>
      </c>
      <c r="B80" s="12"/>
      <c r="C80" s="11" t="s">
        <v>52</v>
      </c>
      <c r="D80" s="11" t="s">
        <v>322</v>
      </c>
      <c r="E80" s="11" t="s">
        <v>323</v>
      </c>
      <c r="F80" s="11" t="s">
        <v>96</v>
      </c>
      <c r="G80" s="11" t="n">
        <v>3</v>
      </c>
      <c r="H80" s="11" t="s">
        <v>291</v>
      </c>
      <c r="I80" s="11" t="s">
        <v>292</v>
      </c>
      <c r="J80" s="11" t="n">
        <f aca="false">COUNTIF($H$2:$H$326,A80)</f>
        <v>0</v>
      </c>
      <c r="K80" s="11" t="s">
        <v>63</v>
      </c>
      <c r="L80" s="13" t="s">
        <v>105</v>
      </c>
      <c r="M80" s="11" t="s">
        <v>324</v>
      </c>
    </row>
    <row r="81" customFormat="false" ht="15" hidden="false" customHeight="true" outlineLevel="0" collapsed="false">
      <c r="A81" s="11" t="s">
        <v>325</v>
      </c>
      <c r="B81" s="12"/>
      <c r="C81" s="11" t="s">
        <v>52</v>
      </c>
      <c r="D81" s="11" t="s">
        <v>326</v>
      </c>
      <c r="E81" s="11" t="s">
        <v>327</v>
      </c>
      <c r="F81" s="11" t="s">
        <v>96</v>
      </c>
      <c r="G81" s="11" t="n">
        <v>3</v>
      </c>
      <c r="H81" s="11" t="s">
        <v>291</v>
      </c>
      <c r="I81" s="11" t="s">
        <v>292</v>
      </c>
      <c r="J81" s="11" t="n">
        <f aca="false">COUNTIF($H$2:$H$326,A81)</f>
        <v>0</v>
      </c>
      <c r="K81" s="11" t="s">
        <v>63</v>
      </c>
      <c r="L81" s="13" t="s">
        <v>72</v>
      </c>
      <c r="M81" s="11" t="s">
        <v>328</v>
      </c>
    </row>
    <row r="82" customFormat="false" ht="15" hidden="false" customHeight="true" outlineLevel="0" collapsed="false">
      <c r="A82" s="11" t="s">
        <v>329</v>
      </c>
      <c r="B82" s="12"/>
      <c r="C82" s="11" t="s">
        <v>52</v>
      </c>
      <c r="D82" s="11" t="s">
        <v>330</v>
      </c>
      <c r="E82" s="11" t="s">
        <v>331</v>
      </c>
      <c r="F82" s="11" t="s">
        <v>96</v>
      </c>
      <c r="G82" s="11" t="n">
        <v>2</v>
      </c>
      <c r="H82" s="11" t="s">
        <v>44</v>
      </c>
      <c r="I82" s="11" t="s">
        <v>47</v>
      </c>
      <c r="J82" s="11" t="n">
        <f aca="false">COUNTIF($H$2:$H$326,A82)</f>
        <v>3</v>
      </c>
      <c r="K82" s="11" t="s">
        <v>100</v>
      </c>
      <c r="L82" s="14"/>
      <c r="M82" s="11" t="s">
        <v>332</v>
      </c>
    </row>
    <row r="83" customFormat="false" ht="15" hidden="false" customHeight="true" outlineLevel="0" collapsed="false">
      <c r="A83" s="11" t="s">
        <v>333</v>
      </c>
      <c r="B83" s="12"/>
      <c r="C83" s="11" t="s">
        <v>52</v>
      </c>
      <c r="D83" s="11" t="s">
        <v>334</v>
      </c>
      <c r="E83" s="11" t="s">
        <v>335</v>
      </c>
      <c r="F83" s="11" t="s">
        <v>96</v>
      </c>
      <c r="G83" s="11" t="n">
        <v>3</v>
      </c>
      <c r="H83" s="11" t="s">
        <v>329</v>
      </c>
      <c r="I83" s="11" t="s">
        <v>330</v>
      </c>
      <c r="J83" s="11" t="n">
        <f aca="false">COUNTIF($H$2:$H$326,A83)</f>
        <v>0</v>
      </c>
      <c r="K83" s="11" t="s">
        <v>63</v>
      </c>
      <c r="L83" s="14"/>
      <c r="M83" s="11" t="s">
        <v>336</v>
      </c>
    </row>
    <row r="84" customFormat="false" ht="15" hidden="false" customHeight="true" outlineLevel="0" collapsed="false">
      <c r="A84" s="11" t="s">
        <v>337</v>
      </c>
      <c r="B84" s="12"/>
      <c r="C84" s="11" t="s">
        <v>52</v>
      </c>
      <c r="D84" s="11" t="s">
        <v>338</v>
      </c>
      <c r="E84" s="11" t="s">
        <v>339</v>
      </c>
      <c r="F84" s="11" t="s">
        <v>96</v>
      </c>
      <c r="G84" s="11" t="n">
        <v>3</v>
      </c>
      <c r="H84" s="11" t="s">
        <v>329</v>
      </c>
      <c r="I84" s="11" t="s">
        <v>330</v>
      </c>
      <c r="J84" s="11" t="n">
        <f aca="false">COUNTIF($H$2:$H$326,A84)</f>
        <v>0</v>
      </c>
      <c r="K84" s="11" t="s">
        <v>63</v>
      </c>
      <c r="L84" s="13" t="s">
        <v>105</v>
      </c>
      <c r="M84" s="11" t="s">
        <v>340</v>
      </c>
    </row>
    <row r="85" customFormat="false" ht="15" hidden="false" customHeight="true" outlineLevel="0" collapsed="false">
      <c r="A85" s="11" t="s">
        <v>341</v>
      </c>
      <c r="B85" s="12"/>
      <c r="C85" s="11" t="s">
        <v>52</v>
      </c>
      <c r="D85" s="11" t="s">
        <v>342</v>
      </c>
      <c r="E85" s="11" t="s">
        <v>335</v>
      </c>
      <c r="F85" s="11" t="s">
        <v>96</v>
      </c>
      <c r="G85" s="11" t="n">
        <v>3</v>
      </c>
      <c r="H85" s="11" t="s">
        <v>329</v>
      </c>
      <c r="I85" s="11" t="s">
        <v>330</v>
      </c>
      <c r="J85" s="11" t="n">
        <f aca="false">COUNTIF($H$2:$H$326,A85)</f>
        <v>0</v>
      </c>
      <c r="K85" s="11" t="s">
        <v>63</v>
      </c>
      <c r="L85" s="13" t="s">
        <v>72</v>
      </c>
      <c r="M85" s="11" t="s">
        <v>343</v>
      </c>
    </row>
    <row r="86" customFormat="false" ht="15" hidden="false" customHeight="true" outlineLevel="0" collapsed="false">
      <c r="A86" s="11" t="s">
        <v>344</v>
      </c>
      <c r="B86" s="12"/>
      <c r="C86" s="11" t="s">
        <v>52</v>
      </c>
      <c r="D86" s="11" t="s">
        <v>345</v>
      </c>
      <c r="E86" s="11" t="s">
        <v>346</v>
      </c>
      <c r="F86" s="11" t="s">
        <v>347</v>
      </c>
      <c r="G86" s="11" t="n">
        <v>1</v>
      </c>
      <c r="H86" s="11"/>
      <c r="I86" s="11"/>
      <c r="J86" s="11" t="n">
        <f aca="false">COUNTIF($H$2:$H$326,A86)</f>
        <v>2</v>
      </c>
      <c r="K86" s="11" t="s">
        <v>348</v>
      </c>
      <c r="L86" s="14"/>
      <c r="M86" s="11" t="s">
        <v>349</v>
      </c>
    </row>
    <row r="87" customFormat="false" ht="15" hidden="false" customHeight="true" outlineLevel="0" collapsed="false">
      <c r="A87" s="11" t="s">
        <v>350</v>
      </c>
      <c r="B87" s="12"/>
      <c r="C87" s="11" t="s">
        <v>52</v>
      </c>
      <c r="D87" s="11" t="s">
        <v>351</v>
      </c>
      <c r="E87" s="11" t="s">
        <v>352</v>
      </c>
      <c r="F87" s="11" t="s">
        <v>347</v>
      </c>
      <c r="G87" s="11" t="n">
        <v>2</v>
      </c>
      <c r="H87" s="11" t="s">
        <v>344</v>
      </c>
      <c r="I87" s="11" t="s">
        <v>345</v>
      </c>
      <c r="J87" s="11" t="n">
        <f aca="false">COUNTIF($H$2:$H$326,A87)</f>
        <v>7</v>
      </c>
      <c r="K87" s="11" t="s">
        <v>55</v>
      </c>
      <c r="L87" s="14"/>
      <c r="M87" s="11" t="s">
        <v>353</v>
      </c>
    </row>
    <row r="88" customFormat="false" ht="15" hidden="false" customHeight="true" outlineLevel="0" collapsed="false">
      <c r="A88" s="11" t="s">
        <v>354</v>
      </c>
      <c r="B88" s="12"/>
      <c r="C88" s="11" t="s">
        <v>52</v>
      </c>
      <c r="D88" s="11" t="s">
        <v>355</v>
      </c>
      <c r="E88" s="11" t="s">
        <v>356</v>
      </c>
      <c r="F88" s="11" t="s">
        <v>347</v>
      </c>
      <c r="G88" s="11" t="n">
        <v>3</v>
      </c>
      <c r="H88" s="11" t="s">
        <v>350</v>
      </c>
      <c r="I88" s="11" t="s">
        <v>351</v>
      </c>
      <c r="J88" s="11" t="n">
        <f aca="false">COUNTIF($H$2:$H$326,A88)</f>
        <v>1</v>
      </c>
      <c r="K88" s="11" t="s">
        <v>55</v>
      </c>
      <c r="L88" s="14"/>
      <c r="M88" s="11" t="s">
        <v>357</v>
      </c>
    </row>
    <row r="89" customFormat="false" ht="15" hidden="false" customHeight="true" outlineLevel="0" collapsed="false">
      <c r="A89" s="11" t="s">
        <v>358</v>
      </c>
      <c r="B89" s="12"/>
      <c r="C89" s="11" t="s">
        <v>45</v>
      </c>
      <c r="D89" s="11" t="s">
        <v>46</v>
      </c>
      <c r="E89" s="11" t="s">
        <v>359</v>
      </c>
      <c r="F89" s="11" t="s">
        <v>347</v>
      </c>
      <c r="G89" s="11" t="n">
        <v>4</v>
      </c>
      <c r="H89" s="11" t="s">
        <v>354</v>
      </c>
      <c r="I89" s="11" t="s">
        <v>355</v>
      </c>
      <c r="J89" s="11" t="n">
        <f aca="false">COUNTIF($H$2:$H$326,A89)</f>
        <v>0</v>
      </c>
      <c r="K89" s="11" t="s">
        <v>49</v>
      </c>
      <c r="L89" s="13" t="s">
        <v>50</v>
      </c>
      <c r="M89" s="11"/>
    </row>
    <row r="90" customFormat="false" ht="15" hidden="false" customHeight="true" outlineLevel="0" collapsed="false">
      <c r="A90" s="11" t="s">
        <v>360</v>
      </c>
      <c r="B90" s="12"/>
      <c r="C90" s="11" t="s">
        <v>52</v>
      </c>
      <c r="D90" s="11" t="s">
        <v>361</v>
      </c>
      <c r="E90" s="11" t="s">
        <v>362</v>
      </c>
      <c r="F90" s="11" t="s">
        <v>347</v>
      </c>
      <c r="G90" s="11" t="n">
        <v>3</v>
      </c>
      <c r="H90" s="11" t="s">
        <v>350</v>
      </c>
      <c r="I90" s="11" t="s">
        <v>351</v>
      </c>
      <c r="J90" s="11" t="n">
        <f aca="false">COUNTIF($H$2:$H$326,A90)</f>
        <v>0</v>
      </c>
      <c r="K90" s="11" t="s">
        <v>63</v>
      </c>
      <c r="L90" s="13" t="s">
        <v>72</v>
      </c>
      <c r="M90" s="11" t="s">
        <v>363</v>
      </c>
    </row>
    <row r="91" customFormat="false" ht="15" hidden="false" customHeight="true" outlineLevel="0" collapsed="false">
      <c r="A91" s="11" t="s">
        <v>364</v>
      </c>
      <c r="B91" s="12"/>
      <c r="C91" s="11" t="s">
        <v>52</v>
      </c>
      <c r="D91" s="11" t="s">
        <v>365</v>
      </c>
      <c r="E91" s="11" t="s">
        <v>366</v>
      </c>
      <c r="F91" s="11" t="s">
        <v>347</v>
      </c>
      <c r="G91" s="11" t="n">
        <v>3</v>
      </c>
      <c r="H91" s="11" t="s">
        <v>350</v>
      </c>
      <c r="I91" s="11" t="s">
        <v>351</v>
      </c>
      <c r="J91" s="11" t="n">
        <f aca="false">COUNTIF($H$2:$H$326,A91)</f>
        <v>0</v>
      </c>
      <c r="K91" s="11" t="s">
        <v>63</v>
      </c>
      <c r="L91" s="14"/>
      <c r="M91" s="11" t="s">
        <v>367</v>
      </c>
    </row>
    <row r="92" customFormat="false" ht="15" hidden="false" customHeight="true" outlineLevel="0" collapsed="false">
      <c r="A92" s="11" t="s">
        <v>368</v>
      </c>
      <c r="B92" s="12"/>
      <c r="C92" s="11" t="s">
        <v>52</v>
      </c>
      <c r="D92" s="11" t="s">
        <v>369</v>
      </c>
      <c r="E92" s="11" t="s">
        <v>100</v>
      </c>
      <c r="F92" s="11" t="s">
        <v>347</v>
      </c>
      <c r="G92" s="11" t="n">
        <v>3</v>
      </c>
      <c r="H92" s="11" t="s">
        <v>350</v>
      </c>
      <c r="I92" s="11" t="s">
        <v>351</v>
      </c>
      <c r="J92" s="11" t="n">
        <f aca="false">COUNTIF($H$2:$H$326,A92)</f>
        <v>0</v>
      </c>
      <c r="K92" s="11" t="s">
        <v>63</v>
      </c>
      <c r="L92" s="14"/>
      <c r="M92" s="11" t="s">
        <v>370</v>
      </c>
    </row>
    <row r="93" customFormat="false" ht="15" hidden="false" customHeight="true" outlineLevel="0" collapsed="false">
      <c r="A93" s="11" t="s">
        <v>371</v>
      </c>
      <c r="B93" s="12"/>
      <c r="C93" s="11" t="s">
        <v>52</v>
      </c>
      <c r="D93" s="11" t="s">
        <v>372</v>
      </c>
      <c r="E93" s="11" t="s">
        <v>373</v>
      </c>
      <c r="F93" s="11" t="s">
        <v>347</v>
      </c>
      <c r="G93" s="11" t="n">
        <v>3</v>
      </c>
      <c r="H93" s="11" t="s">
        <v>350</v>
      </c>
      <c r="I93" s="11" t="s">
        <v>351</v>
      </c>
      <c r="J93" s="11" t="n">
        <f aca="false">COUNTIF($H$2:$H$326,A93)</f>
        <v>0</v>
      </c>
      <c r="K93" s="11" t="s">
        <v>63</v>
      </c>
      <c r="L93" s="14"/>
      <c r="M93" s="11" t="s">
        <v>374</v>
      </c>
    </row>
    <row r="94" customFormat="false" ht="15" hidden="false" customHeight="true" outlineLevel="0" collapsed="false">
      <c r="A94" s="11" t="s">
        <v>375</v>
      </c>
      <c r="B94" s="12"/>
      <c r="C94" s="11" t="s">
        <v>52</v>
      </c>
      <c r="D94" s="11" t="s">
        <v>376</v>
      </c>
      <c r="E94" s="11" t="s">
        <v>377</v>
      </c>
      <c r="F94" s="11" t="s">
        <v>347</v>
      </c>
      <c r="G94" s="11" t="n">
        <v>3</v>
      </c>
      <c r="H94" s="11" t="s">
        <v>350</v>
      </c>
      <c r="I94" s="11" t="s">
        <v>351</v>
      </c>
      <c r="J94" s="11" t="n">
        <f aca="false">COUNTIF($H$2:$H$326,A94)</f>
        <v>1</v>
      </c>
      <c r="K94" s="11" t="s">
        <v>55</v>
      </c>
      <c r="L94" s="14"/>
      <c r="M94" s="11" t="s">
        <v>378</v>
      </c>
    </row>
    <row r="95" customFormat="false" ht="15" hidden="false" customHeight="true" outlineLevel="0" collapsed="false">
      <c r="A95" s="11" t="s">
        <v>379</v>
      </c>
      <c r="B95" s="12"/>
      <c r="C95" s="11" t="s">
        <v>52</v>
      </c>
      <c r="D95" s="11" t="s">
        <v>380</v>
      </c>
      <c r="E95" s="11" t="s">
        <v>381</v>
      </c>
      <c r="F95" s="11" t="s">
        <v>347</v>
      </c>
      <c r="G95" s="11" t="n">
        <v>4</v>
      </c>
      <c r="H95" s="11" t="s">
        <v>375</v>
      </c>
      <c r="I95" s="11" t="s">
        <v>376</v>
      </c>
      <c r="J95" s="11" t="n">
        <f aca="false">COUNTIF($H$2:$H$326,A95)</f>
        <v>0</v>
      </c>
      <c r="K95" s="11" t="s">
        <v>63</v>
      </c>
      <c r="L95" s="13" t="s">
        <v>105</v>
      </c>
      <c r="M95" s="11" t="s">
        <v>382</v>
      </c>
    </row>
    <row r="96" customFormat="false" ht="15" hidden="false" customHeight="true" outlineLevel="0" collapsed="false">
      <c r="A96" s="11" t="s">
        <v>383</v>
      </c>
      <c r="B96" s="12"/>
      <c r="C96" s="11" t="s">
        <v>52</v>
      </c>
      <c r="D96" s="11" t="s">
        <v>384</v>
      </c>
      <c r="E96" s="11" t="s">
        <v>385</v>
      </c>
      <c r="F96" s="11" t="s">
        <v>347</v>
      </c>
      <c r="G96" s="11" t="n">
        <v>3</v>
      </c>
      <c r="H96" s="11" t="s">
        <v>350</v>
      </c>
      <c r="I96" s="11" t="s">
        <v>351</v>
      </c>
      <c r="J96" s="11" t="n">
        <f aca="false">COUNTIF($H$2:$H$326,A96)</f>
        <v>0</v>
      </c>
      <c r="K96" s="11" t="s">
        <v>63</v>
      </c>
      <c r="L96" s="14"/>
      <c r="M96" s="11" t="s">
        <v>386</v>
      </c>
    </row>
    <row r="97" customFormat="false" ht="15" hidden="false" customHeight="true" outlineLevel="0" collapsed="false">
      <c r="A97" s="11" t="s">
        <v>387</v>
      </c>
      <c r="B97" s="12"/>
      <c r="C97" s="11" t="s">
        <v>52</v>
      </c>
      <c r="D97" s="11" t="s">
        <v>388</v>
      </c>
      <c r="E97" s="11" t="s">
        <v>389</v>
      </c>
      <c r="F97" s="11" t="s">
        <v>347</v>
      </c>
      <c r="G97" s="11" t="n">
        <v>2</v>
      </c>
      <c r="H97" s="11" t="s">
        <v>344</v>
      </c>
      <c r="I97" s="11" t="s">
        <v>345</v>
      </c>
      <c r="J97" s="11" t="n">
        <f aca="false">COUNTIF($H$2:$H$326,A97)</f>
        <v>1</v>
      </c>
      <c r="K97" s="11" t="s">
        <v>55</v>
      </c>
      <c r="L97" s="14"/>
      <c r="M97" s="11" t="s">
        <v>390</v>
      </c>
    </row>
    <row r="98" customFormat="false" ht="15" hidden="false" customHeight="true" outlineLevel="0" collapsed="false">
      <c r="A98" s="11" t="s">
        <v>391</v>
      </c>
      <c r="B98" s="12"/>
      <c r="C98" s="11" t="s">
        <v>52</v>
      </c>
      <c r="D98" s="11" t="s">
        <v>392</v>
      </c>
      <c r="E98" s="11" t="s">
        <v>393</v>
      </c>
      <c r="F98" s="11" t="s">
        <v>347</v>
      </c>
      <c r="G98" s="11" t="n">
        <v>3</v>
      </c>
      <c r="H98" s="11" t="s">
        <v>387</v>
      </c>
      <c r="I98" s="11" t="s">
        <v>388</v>
      </c>
      <c r="J98" s="11" t="n">
        <f aca="false">COUNTIF($H$2:$H$326,A98)</f>
        <v>0</v>
      </c>
      <c r="K98" s="11" t="s">
        <v>63</v>
      </c>
      <c r="L98" s="14"/>
      <c r="M98" s="11" t="s">
        <v>394</v>
      </c>
    </row>
    <row r="99" customFormat="false" ht="15" hidden="false" customHeight="true" outlineLevel="0" collapsed="false">
      <c r="A99" s="11" t="s">
        <v>395</v>
      </c>
      <c r="B99" s="12"/>
      <c r="C99" s="11" t="s">
        <v>52</v>
      </c>
      <c r="D99" s="11" t="s">
        <v>396</v>
      </c>
      <c r="E99" s="11" t="s">
        <v>397</v>
      </c>
      <c r="F99" s="11" t="s">
        <v>398</v>
      </c>
      <c r="G99" s="11" t="n">
        <v>1</v>
      </c>
      <c r="H99" s="11"/>
      <c r="I99" s="11"/>
      <c r="J99" s="11" t="n">
        <f aca="false">COUNTIF($H$2:$H$326,A99)</f>
        <v>2</v>
      </c>
      <c r="K99" s="11" t="s">
        <v>348</v>
      </c>
      <c r="L99" s="14"/>
      <c r="M99" s="11" t="s">
        <v>399</v>
      </c>
    </row>
    <row r="100" customFormat="false" ht="15" hidden="false" customHeight="true" outlineLevel="0" collapsed="false">
      <c r="A100" s="11" t="s">
        <v>400</v>
      </c>
      <c r="B100" s="12"/>
      <c r="C100" s="11" t="s">
        <v>52</v>
      </c>
      <c r="D100" s="11" t="s">
        <v>401</v>
      </c>
      <c r="E100" s="11" t="s">
        <v>402</v>
      </c>
      <c r="F100" s="11" t="s">
        <v>398</v>
      </c>
      <c r="G100" s="11" t="n">
        <v>2</v>
      </c>
      <c r="H100" s="11" t="s">
        <v>395</v>
      </c>
      <c r="I100" s="11" t="s">
        <v>396</v>
      </c>
      <c r="J100" s="11" t="n">
        <f aca="false">COUNTIF($H$2:$H$326,A100)</f>
        <v>5</v>
      </c>
      <c r="K100" s="11" t="s">
        <v>55</v>
      </c>
      <c r="L100" s="14"/>
      <c r="M100" s="11" t="s">
        <v>403</v>
      </c>
    </row>
    <row r="101" customFormat="false" ht="15" hidden="false" customHeight="true" outlineLevel="0" collapsed="false">
      <c r="A101" s="11" t="s">
        <v>404</v>
      </c>
      <c r="B101" s="12"/>
      <c r="C101" s="11" t="s">
        <v>52</v>
      </c>
      <c r="D101" s="11" t="s">
        <v>405</v>
      </c>
      <c r="E101" s="11" t="s">
        <v>406</v>
      </c>
      <c r="F101" s="11" t="s">
        <v>398</v>
      </c>
      <c r="G101" s="11" t="n">
        <v>3</v>
      </c>
      <c r="H101" s="11" t="s">
        <v>400</v>
      </c>
      <c r="I101" s="11" t="s">
        <v>401</v>
      </c>
      <c r="J101" s="11" t="n">
        <f aca="false">COUNTIF($H$2:$H$326,A101)</f>
        <v>3</v>
      </c>
      <c r="K101" s="11" t="s">
        <v>55</v>
      </c>
      <c r="L101" s="14"/>
      <c r="M101" s="11" t="s">
        <v>407</v>
      </c>
    </row>
    <row r="102" customFormat="false" ht="15" hidden="false" customHeight="true" outlineLevel="0" collapsed="false">
      <c r="A102" s="11" t="s">
        <v>408</v>
      </c>
      <c r="B102" s="12"/>
      <c r="C102" s="11" t="s">
        <v>52</v>
      </c>
      <c r="D102" s="11" t="s">
        <v>409</v>
      </c>
      <c r="E102" s="11" t="s">
        <v>410</v>
      </c>
      <c r="F102" s="11" t="s">
        <v>398</v>
      </c>
      <c r="G102" s="11" t="n">
        <v>4</v>
      </c>
      <c r="H102" s="11" t="s">
        <v>404</v>
      </c>
      <c r="I102" s="11" t="s">
        <v>405</v>
      </c>
      <c r="J102" s="11" t="n">
        <f aca="false">COUNTIF($H$2:$H$326,A102)</f>
        <v>0</v>
      </c>
      <c r="K102" s="11" t="s">
        <v>63</v>
      </c>
      <c r="L102" s="14"/>
      <c r="M102" s="11" t="s">
        <v>411</v>
      </c>
    </row>
    <row r="103" customFormat="false" ht="15" hidden="false" customHeight="true" outlineLevel="0" collapsed="false">
      <c r="A103" s="11" t="s">
        <v>412</v>
      </c>
      <c r="B103" s="12"/>
      <c r="C103" s="11" t="s">
        <v>52</v>
      </c>
      <c r="D103" s="11" t="s">
        <v>413</v>
      </c>
      <c r="E103" s="11" t="s">
        <v>410</v>
      </c>
      <c r="F103" s="11" t="s">
        <v>398</v>
      </c>
      <c r="G103" s="11" t="n">
        <v>4</v>
      </c>
      <c r="H103" s="11" t="s">
        <v>404</v>
      </c>
      <c r="I103" s="11" t="s">
        <v>405</v>
      </c>
      <c r="J103" s="11" t="n">
        <f aca="false">COUNTIF($H$2:$H$326,A103)</f>
        <v>0</v>
      </c>
      <c r="K103" s="11" t="s">
        <v>63</v>
      </c>
      <c r="L103" s="14"/>
      <c r="M103" s="11" t="s">
        <v>414</v>
      </c>
    </row>
    <row r="104" customFormat="false" ht="15" hidden="false" customHeight="true" outlineLevel="0" collapsed="false">
      <c r="A104" s="11" t="s">
        <v>415</v>
      </c>
      <c r="B104" s="12"/>
      <c r="C104" s="11" t="s">
        <v>52</v>
      </c>
      <c r="D104" s="11" t="s">
        <v>416</v>
      </c>
      <c r="E104" s="11" t="s">
        <v>417</v>
      </c>
      <c r="F104" s="11" t="s">
        <v>398</v>
      </c>
      <c r="G104" s="11" t="n">
        <v>4</v>
      </c>
      <c r="H104" s="11" t="s">
        <v>404</v>
      </c>
      <c r="I104" s="11" t="s">
        <v>405</v>
      </c>
      <c r="J104" s="11" t="n">
        <f aca="false">COUNTIF($H$2:$H$326,A104)</f>
        <v>0</v>
      </c>
      <c r="K104" s="11" t="s">
        <v>63</v>
      </c>
      <c r="L104" s="14"/>
      <c r="M104" s="11" t="s">
        <v>418</v>
      </c>
    </row>
    <row r="105" customFormat="false" ht="15" hidden="false" customHeight="true" outlineLevel="0" collapsed="false">
      <c r="A105" s="11" t="s">
        <v>419</v>
      </c>
      <c r="B105" s="12"/>
      <c r="C105" s="11" t="s">
        <v>52</v>
      </c>
      <c r="D105" s="11" t="s">
        <v>420</v>
      </c>
      <c r="E105" s="11" t="s">
        <v>421</v>
      </c>
      <c r="F105" s="11" t="s">
        <v>398</v>
      </c>
      <c r="G105" s="11" t="n">
        <v>3</v>
      </c>
      <c r="H105" s="11" t="s">
        <v>400</v>
      </c>
      <c r="I105" s="11" t="s">
        <v>401</v>
      </c>
      <c r="J105" s="11" t="n">
        <f aca="false">COUNTIF($H$2:$H$326,A105)</f>
        <v>0</v>
      </c>
      <c r="K105" s="11" t="s">
        <v>63</v>
      </c>
      <c r="L105" s="14"/>
      <c r="M105" s="11" t="s">
        <v>422</v>
      </c>
    </row>
    <row r="106" customFormat="false" ht="15" hidden="false" customHeight="true" outlineLevel="0" collapsed="false">
      <c r="A106" s="11" t="s">
        <v>423</v>
      </c>
      <c r="B106" s="12"/>
      <c r="C106" s="11" t="s">
        <v>52</v>
      </c>
      <c r="D106" s="11" t="s">
        <v>424</v>
      </c>
      <c r="E106" s="11" t="s">
        <v>417</v>
      </c>
      <c r="F106" s="11" t="s">
        <v>398</v>
      </c>
      <c r="G106" s="11" t="n">
        <v>3</v>
      </c>
      <c r="H106" s="11" t="s">
        <v>400</v>
      </c>
      <c r="I106" s="11" t="s">
        <v>401</v>
      </c>
      <c r="J106" s="11" t="n">
        <f aca="false">COUNTIF($H$2:$H$326,A106)</f>
        <v>0</v>
      </c>
      <c r="K106" s="11" t="s">
        <v>63</v>
      </c>
      <c r="L106" s="14"/>
      <c r="M106" s="11" t="s">
        <v>425</v>
      </c>
    </row>
    <row r="107" customFormat="false" ht="15" hidden="false" customHeight="true" outlineLevel="0" collapsed="false">
      <c r="A107" s="11" t="s">
        <v>426</v>
      </c>
      <c r="B107" s="12"/>
      <c r="C107" s="11" t="s">
        <v>52</v>
      </c>
      <c r="D107" s="11" t="s">
        <v>427</v>
      </c>
      <c r="E107" s="11" t="s">
        <v>428</v>
      </c>
      <c r="F107" s="11" t="s">
        <v>398</v>
      </c>
      <c r="G107" s="11" t="n">
        <v>3</v>
      </c>
      <c r="H107" s="11" t="s">
        <v>400</v>
      </c>
      <c r="I107" s="11" t="s">
        <v>401</v>
      </c>
      <c r="J107" s="11" t="n">
        <f aca="false">COUNTIF($H$2:$H$326,A107)</f>
        <v>0</v>
      </c>
      <c r="K107" s="11" t="s">
        <v>63</v>
      </c>
      <c r="L107" s="14"/>
      <c r="M107" s="11" t="s">
        <v>429</v>
      </c>
    </row>
    <row r="108" customFormat="false" ht="15" hidden="false" customHeight="true" outlineLevel="0" collapsed="false">
      <c r="A108" s="11" t="s">
        <v>430</v>
      </c>
      <c r="B108" s="12"/>
      <c r="C108" s="11" t="s">
        <v>52</v>
      </c>
      <c r="D108" s="11" t="s">
        <v>431</v>
      </c>
      <c r="E108" s="11" t="s">
        <v>55</v>
      </c>
      <c r="F108" s="11" t="s">
        <v>398</v>
      </c>
      <c r="G108" s="11" t="n">
        <v>3</v>
      </c>
      <c r="H108" s="11" t="s">
        <v>400</v>
      </c>
      <c r="I108" s="11" t="s">
        <v>401</v>
      </c>
      <c r="J108" s="11" t="n">
        <f aca="false">COUNTIF($H$2:$H$326,A108)</f>
        <v>0</v>
      </c>
      <c r="K108" s="11" t="s">
        <v>63</v>
      </c>
      <c r="L108" s="14"/>
      <c r="M108" s="11" t="s">
        <v>432</v>
      </c>
    </row>
    <row r="109" customFormat="false" ht="15" hidden="false" customHeight="true" outlineLevel="0" collapsed="false">
      <c r="A109" s="11" t="s">
        <v>433</v>
      </c>
      <c r="B109" s="12"/>
      <c r="C109" s="11" t="s">
        <v>52</v>
      </c>
      <c r="D109" s="11" t="s">
        <v>434</v>
      </c>
      <c r="E109" s="11" t="s">
        <v>435</v>
      </c>
      <c r="F109" s="11" t="s">
        <v>398</v>
      </c>
      <c r="G109" s="11" t="n">
        <v>2</v>
      </c>
      <c r="H109" s="11" t="s">
        <v>395</v>
      </c>
      <c r="I109" s="11" t="s">
        <v>396</v>
      </c>
      <c r="J109" s="11" t="n">
        <f aca="false">COUNTIF($H$2:$H$326,A109)</f>
        <v>0</v>
      </c>
      <c r="K109" s="11" t="s">
        <v>63</v>
      </c>
      <c r="L109" s="14"/>
      <c r="M109" s="11" t="s">
        <v>436</v>
      </c>
    </row>
    <row r="110" customFormat="false" ht="23.25" hidden="false" customHeight="true" outlineLevel="0" collapsed="false">
      <c r="A110" s="11" t="s">
        <v>437</v>
      </c>
      <c r="B110" s="12"/>
      <c r="C110" s="11" t="s">
        <v>52</v>
      </c>
      <c r="D110" s="11" t="s">
        <v>180</v>
      </c>
      <c r="E110" s="11" t="s">
        <v>438</v>
      </c>
      <c r="F110" s="11" t="s">
        <v>439</v>
      </c>
      <c r="G110" s="11" t="n">
        <v>1</v>
      </c>
      <c r="H110" s="11"/>
      <c r="I110" s="11"/>
      <c r="J110" s="11" t="n">
        <f aca="false">COUNTIF($H$2:$H$326,A110)</f>
        <v>6</v>
      </c>
      <c r="K110" s="11" t="s">
        <v>348</v>
      </c>
      <c r="L110" s="13" t="s">
        <v>440</v>
      </c>
      <c r="M110" s="11" t="s">
        <v>441</v>
      </c>
    </row>
    <row r="111" customFormat="false" ht="15" hidden="false" customHeight="true" outlineLevel="0" collapsed="false">
      <c r="A111" s="11" t="s">
        <v>442</v>
      </c>
      <c r="B111" s="12"/>
      <c r="C111" s="11" t="s">
        <v>52</v>
      </c>
      <c r="D111" s="11" t="s">
        <v>443</v>
      </c>
      <c r="E111" s="11" t="s">
        <v>444</v>
      </c>
      <c r="F111" s="11" t="s">
        <v>439</v>
      </c>
      <c r="G111" s="11" t="n">
        <v>2</v>
      </c>
      <c r="H111" s="11" t="s">
        <v>437</v>
      </c>
      <c r="I111" s="11" t="s">
        <v>180</v>
      </c>
      <c r="J111" s="11" t="n">
        <f aca="false">COUNTIF($H$2:$H$326,A111)</f>
        <v>6</v>
      </c>
      <c r="K111" s="11" t="s">
        <v>55</v>
      </c>
      <c r="L111" s="13" t="s">
        <v>72</v>
      </c>
      <c r="M111" s="11" t="s">
        <v>445</v>
      </c>
    </row>
    <row r="112" customFormat="false" ht="15" hidden="false" customHeight="true" outlineLevel="0" collapsed="false">
      <c r="A112" s="11" t="s">
        <v>446</v>
      </c>
      <c r="B112" s="12"/>
      <c r="C112" s="11" t="s">
        <v>52</v>
      </c>
      <c r="D112" s="11" t="s">
        <v>447</v>
      </c>
      <c r="E112" s="11" t="s">
        <v>448</v>
      </c>
      <c r="F112" s="11" t="s">
        <v>439</v>
      </c>
      <c r="G112" s="11" t="n">
        <v>3</v>
      </c>
      <c r="H112" s="11" t="s">
        <v>442</v>
      </c>
      <c r="I112" s="11" t="s">
        <v>443</v>
      </c>
      <c r="J112" s="11" t="n">
        <f aca="false">COUNTIF($H$2:$H$326,A112)</f>
        <v>0</v>
      </c>
      <c r="K112" s="11" t="s">
        <v>63</v>
      </c>
      <c r="L112" s="14"/>
      <c r="M112" s="11" t="s">
        <v>449</v>
      </c>
    </row>
    <row r="113" customFormat="false" ht="15" hidden="false" customHeight="true" outlineLevel="0" collapsed="false">
      <c r="A113" s="11" t="s">
        <v>450</v>
      </c>
      <c r="B113" s="12"/>
      <c r="C113" s="11" t="s">
        <v>52</v>
      </c>
      <c r="D113" s="11" t="s">
        <v>451</v>
      </c>
      <c r="E113" s="11" t="s">
        <v>452</v>
      </c>
      <c r="F113" s="11" t="s">
        <v>439</v>
      </c>
      <c r="G113" s="11" t="n">
        <v>3</v>
      </c>
      <c r="H113" s="11" t="s">
        <v>442</v>
      </c>
      <c r="I113" s="11" t="s">
        <v>443</v>
      </c>
      <c r="J113" s="11" t="n">
        <f aca="false">COUNTIF($H$2:$H$326,A113)</f>
        <v>0</v>
      </c>
      <c r="K113" s="11" t="s">
        <v>63</v>
      </c>
      <c r="L113" s="14"/>
      <c r="M113" s="11" t="s">
        <v>453</v>
      </c>
    </row>
    <row r="114" customFormat="false" ht="15" hidden="false" customHeight="true" outlineLevel="0" collapsed="false">
      <c r="A114" s="11" t="s">
        <v>454</v>
      </c>
      <c r="B114" s="12"/>
      <c r="C114" s="11" t="s">
        <v>52</v>
      </c>
      <c r="D114" s="11" t="s">
        <v>455</v>
      </c>
      <c r="E114" s="11" t="s">
        <v>448</v>
      </c>
      <c r="F114" s="11" t="s">
        <v>439</v>
      </c>
      <c r="G114" s="11" t="n">
        <v>3</v>
      </c>
      <c r="H114" s="11" t="s">
        <v>442</v>
      </c>
      <c r="I114" s="11" t="s">
        <v>443</v>
      </c>
      <c r="J114" s="11" t="n">
        <f aca="false">COUNTIF($H$2:$H$326,A114)</f>
        <v>0</v>
      </c>
      <c r="K114" s="11" t="s">
        <v>63</v>
      </c>
      <c r="L114" s="14"/>
      <c r="M114" s="11" t="s">
        <v>456</v>
      </c>
    </row>
    <row r="115" customFormat="false" ht="15" hidden="false" customHeight="true" outlineLevel="0" collapsed="false">
      <c r="A115" s="11" t="s">
        <v>457</v>
      </c>
      <c r="B115" s="12"/>
      <c r="C115" s="11" t="s">
        <v>52</v>
      </c>
      <c r="D115" s="11" t="s">
        <v>458</v>
      </c>
      <c r="E115" s="11" t="s">
        <v>459</v>
      </c>
      <c r="F115" s="11" t="s">
        <v>439</v>
      </c>
      <c r="G115" s="11" t="n">
        <v>3</v>
      </c>
      <c r="H115" s="11" t="s">
        <v>442</v>
      </c>
      <c r="I115" s="11" t="s">
        <v>443</v>
      </c>
      <c r="J115" s="11" t="n">
        <f aca="false">COUNTIF($H$2:$H$326,A115)</f>
        <v>0</v>
      </c>
      <c r="K115" s="11" t="s">
        <v>63</v>
      </c>
      <c r="L115" s="14"/>
      <c r="M115" s="11" t="s">
        <v>460</v>
      </c>
    </row>
    <row r="116" customFormat="false" ht="15" hidden="false" customHeight="true" outlineLevel="0" collapsed="false">
      <c r="A116" s="11" t="s">
        <v>461</v>
      </c>
      <c r="B116" s="12"/>
      <c r="C116" s="11" t="s">
        <v>52</v>
      </c>
      <c r="D116" s="11" t="s">
        <v>462</v>
      </c>
      <c r="E116" s="11" t="s">
        <v>448</v>
      </c>
      <c r="F116" s="11" t="s">
        <v>439</v>
      </c>
      <c r="G116" s="11" t="n">
        <v>3</v>
      </c>
      <c r="H116" s="11" t="s">
        <v>442</v>
      </c>
      <c r="I116" s="11" t="s">
        <v>443</v>
      </c>
      <c r="J116" s="11" t="n">
        <f aca="false">COUNTIF($H$2:$H$326,A116)</f>
        <v>0</v>
      </c>
      <c r="K116" s="11" t="s">
        <v>63</v>
      </c>
      <c r="L116" s="14"/>
      <c r="M116" s="11" t="s">
        <v>463</v>
      </c>
    </row>
    <row r="117" customFormat="false" ht="15" hidden="false" customHeight="true" outlineLevel="0" collapsed="false">
      <c r="A117" s="11" t="s">
        <v>464</v>
      </c>
      <c r="B117" s="12"/>
      <c r="C117" s="11" t="s">
        <v>52</v>
      </c>
      <c r="D117" s="11" t="s">
        <v>465</v>
      </c>
      <c r="E117" s="11" t="s">
        <v>448</v>
      </c>
      <c r="F117" s="11" t="s">
        <v>439</v>
      </c>
      <c r="G117" s="11" t="n">
        <v>3</v>
      </c>
      <c r="H117" s="11" t="s">
        <v>442</v>
      </c>
      <c r="I117" s="11" t="s">
        <v>443</v>
      </c>
      <c r="J117" s="11" t="n">
        <f aca="false">COUNTIF($H$2:$H$326,A117)</f>
        <v>0</v>
      </c>
      <c r="K117" s="11" t="s">
        <v>63</v>
      </c>
      <c r="L117" s="14"/>
      <c r="M117" s="11" t="s">
        <v>466</v>
      </c>
    </row>
    <row r="118" customFormat="false" ht="15" hidden="false" customHeight="true" outlineLevel="0" collapsed="false">
      <c r="A118" s="11" t="s">
        <v>467</v>
      </c>
      <c r="B118" s="12"/>
      <c r="C118" s="11" t="s">
        <v>52</v>
      </c>
      <c r="D118" s="11" t="s">
        <v>468</v>
      </c>
      <c r="E118" s="11" t="s">
        <v>469</v>
      </c>
      <c r="F118" s="11" t="s">
        <v>470</v>
      </c>
      <c r="G118" s="11" t="n">
        <v>1</v>
      </c>
      <c r="H118" s="11"/>
      <c r="I118" s="11"/>
      <c r="J118" s="11" t="n">
        <f aca="false">COUNTIF($H$2:$H$326,A118)</f>
        <v>5</v>
      </c>
      <c r="K118" s="11" t="s">
        <v>348</v>
      </c>
      <c r="L118" s="13" t="s">
        <v>471</v>
      </c>
      <c r="M118" s="11" t="s">
        <v>472</v>
      </c>
    </row>
    <row r="119" customFormat="false" ht="15" hidden="false" customHeight="true" outlineLevel="0" collapsed="false">
      <c r="A119" s="11" t="s">
        <v>473</v>
      </c>
      <c r="B119" s="12"/>
      <c r="C119" s="11" t="s">
        <v>52</v>
      </c>
      <c r="D119" s="11" t="s">
        <v>474</v>
      </c>
      <c r="E119" s="11" t="s">
        <v>475</v>
      </c>
      <c r="F119" s="11" t="s">
        <v>470</v>
      </c>
      <c r="G119" s="11" t="n">
        <v>2</v>
      </c>
      <c r="H119" s="11" t="s">
        <v>467</v>
      </c>
      <c r="I119" s="11" t="s">
        <v>468</v>
      </c>
      <c r="J119" s="11" t="n">
        <f aca="false">COUNTIF($H$2:$H$326,A119)</f>
        <v>6</v>
      </c>
      <c r="K119" s="11" t="s">
        <v>55</v>
      </c>
      <c r="L119" s="13" t="s">
        <v>105</v>
      </c>
      <c r="M119" s="11" t="s">
        <v>476</v>
      </c>
    </row>
    <row r="120" customFormat="false" ht="15" hidden="false" customHeight="true" outlineLevel="0" collapsed="false">
      <c r="A120" s="11" t="s">
        <v>477</v>
      </c>
      <c r="B120" s="12"/>
      <c r="C120" s="11" t="s">
        <v>52</v>
      </c>
      <c r="D120" s="11" t="s">
        <v>478</v>
      </c>
      <c r="E120" s="11" t="s">
        <v>479</v>
      </c>
      <c r="F120" s="11" t="s">
        <v>470</v>
      </c>
      <c r="G120" s="11" t="n">
        <v>3</v>
      </c>
      <c r="H120" s="11" t="s">
        <v>473</v>
      </c>
      <c r="I120" s="11" t="s">
        <v>474</v>
      </c>
      <c r="J120" s="11" t="n">
        <f aca="false">COUNTIF($H$2:$H$326,A120)</f>
        <v>0</v>
      </c>
      <c r="K120" s="11" t="s">
        <v>63</v>
      </c>
      <c r="L120" s="14"/>
      <c r="M120" s="11" t="s">
        <v>480</v>
      </c>
    </row>
    <row r="121" customFormat="false" ht="15" hidden="false" customHeight="true" outlineLevel="0" collapsed="false">
      <c r="A121" s="11" t="s">
        <v>481</v>
      </c>
      <c r="B121" s="12"/>
      <c r="C121" s="11" t="s">
        <v>52</v>
      </c>
      <c r="D121" s="11" t="s">
        <v>338</v>
      </c>
      <c r="E121" s="11" t="s">
        <v>482</v>
      </c>
      <c r="F121" s="11" t="s">
        <v>470</v>
      </c>
      <c r="G121" s="11" t="n">
        <v>3</v>
      </c>
      <c r="H121" s="11" t="s">
        <v>473</v>
      </c>
      <c r="I121" s="11" t="s">
        <v>474</v>
      </c>
      <c r="J121" s="11" t="n">
        <f aca="false">COUNTIF($H$2:$H$326,A121)</f>
        <v>0</v>
      </c>
      <c r="K121" s="11" t="s">
        <v>63</v>
      </c>
      <c r="L121" s="13" t="s">
        <v>105</v>
      </c>
      <c r="M121" s="11" t="s">
        <v>483</v>
      </c>
    </row>
    <row r="122" customFormat="false" ht="15" hidden="false" customHeight="true" outlineLevel="0" collapsed="false">
      <c r="A122" s="11" t="s">
        <v>484</v>
      </c>
      <c r="B122" s="12"/>
      <c r="C122" s="11" t="s">
        <v>52</v>
      </c>
      <c r="D122" s="11" t="s">
        <v>485</v>
      </c>
      <c r="E122" s="11" t="s">
        <v>482</v>
      </c>
      <c r="F122" s="11" t="s">
        <v>470</v>
      </c>
      <c r="G122" s="11" t="n">
        <v>3</v>
      </c>
      <c r="H122" s="11" t="s">
        <v>473</v>
      </c>
      <c r="I122" s="11" t="s">
        <v>474</v>
      </c>
      <c r="J122" s="11" t="n">
        <f aca="false">COUNTIF($H$2:$H$326,A122)</f>
        <v>0</v>
      </c>
      <c r="K122" s="11" t="s">
        <v>63</v>
      </c>
      <c r="L122" s="14"/>
      <c r="M122" s="11" t="s">
        <v>486</v>
      </c>
    </row>
    <row r="123" customFormat="false" ht="15" hidden="false" customHeight="true" outlineLevel="0" collapsed="false">
      <c r="A123" s="11" t="s">
        <v>487</v>
      </c>
      <c r="B123" s="12"/>
      <c r="C123" s="11" t="s">
        <v>52</v>
      </c>
      <c r="D123" s="11" t="s">
        <v>488</v>
      </c>
      <c r="E123" s="11" t="s">
        <v>482</v>
      </c>
      <c r="F123" s="11" t="s">
        <v>470</v>
      </c>
      <c r="G123" s="11" t="n">
        <v>3</v>
      </c>
      <c r="H123" s="11" t="s">
        <v>473</v>
      </c>
      <c r="I123" s="11" t="s">
        <v>474</v>
      </c>
      <c r="J123" s="11" t="n">
        <f aca="false">COUNTIF($H$2:$H$326,A123)</f>
        <v>0</v>
      </c>
      <c r="K123" s="11" t="s">
        <v>63</v>
      </c>
      <c r="L123" s="14"/>
      <c r="M123" s="11" t="s">
        <v>489</v>
      </c>
    </row>
    <row r="124" customFormat="false" ht="15" hidden="false" customHeight="true" outlineLevel="0" collapsed="false">
      <c r="A124" s="11" t="s">
        <v>490</v>
      </c>
      <c r="B124" s="12"/>
      <c r="C124" s="11" t="s">
        <v>52</v>
      </c>
      <c r="D124" s="11" t="s">
        <v>491</v>
      </c>
      <c r="E124" s="11" t="s">
        <v>482</v>
      </c>
      <c r="F124" s="11" t="s">
        <v>470</v>
      </c>
      <c r="G124" s="11" t="n">
        <v>3</v>
      </c>
      <c r="H124" s="11" t="s">
        <v>473</v>
      </c>
      <c r="I124" s="11" t="s">
        <v>474</v>
      </c>
      <c r="J124" s="11" t="n">
        <f aca="false">COUNTIF($H$2:$H$326,A124)</f>
        <v>0</v>
      </c>
      <c r="K124" s="11" t="s">
        <v>63</v>
      </c>
      <c r="L124" s="14"/>
      <c r="M124" s="11" t="s">
        <v>492</v>
      </c>
    </row>
    <row r="125" customFormat="false" ht="15" hidden="false" customHeight="true" outlineLevel="0" collapsed="false">
      <c r="A125" s="11" t="s">
        <v>493</v>
      </c>
      <c r="B125" s="12"/>
      <c r="C125" s="11" t="s">
        <v>52</v>
      </c>
      <c r="D125" s="11" t="s">
        <v>494</v>
      </c>
      <c r="E125" s="11" t="s">
        <v>495</v>
      </c>
      <c r="F125" s="11" t="s">
        <v>470</v>
      </c>
      <c r="G125" s="11" t="n">
        <v>3</v>
      </c>
      <c r="H125" s="11" t="s">
        <v>473</v>
      </c>
      <c r="I125" s="11" t="s">
        <v>474</v>
      </c>
      <c r="J125" s="11" t="n">
        <f aca="false">COUNTIF($H$2:$H$326,A125)</f>
        <v>0</v>
      </c>
      <c r="K125" s="11" t="s">
        <v>63</v>
      </c>
      <c r="L125" s="14"/>
      <c r="M125" s="11" t="s">
        <v>496</v>
      </c>
    </row>
    <row r="126" customFormat="false" ht="15" hidden="false" customHeight="true" outlineLevel="0" collapsed="false">
      <c r="A126" s="11" t="s">
        <v>497</v>
      </c>
      <c r="B126" s="12"/>
      <c r="C126" s="11" t="s">
        <v>52</v>
      </c>
      <c r="D126" s="11" t="s">
        <v>498</v>
      </c>
      <c r="E126" s="11" t="s">
        <v>499</v>
      </c>
      <c r="F126" s="11" t="s">
        <v>470</v>
      </c>
      <c r="G126" s="11" t="n">
        <v>2</v>
      </c>
      <c r="H126" s="11" t="s">
        <v>467</v>
      </c>
      <c r="I126" s="11" t="s">
        <v>468</v>
      </c>
      <c r="J126" s="11" t="n">
        <f aca="false">COUNTIF($H$2:$H$326,A126)</f>
        <v>5</v>
      </c>
      <c r="K126" s="11" t="s">
        <v>55</v>
      </c>
      <c r="L126" s="14"/>
      <c r="M126" s="11" t="s">
        <v>500</v>
      </c>
    </row>
    <row r="127" customFormat="false" ht="15" hidden="false" customHeight="true" outlineLevel="0" collapsed="false">
      <c r="A127" s="11" t="s">
        <v>501</v>
      </c>
      <c r="B127" s="12"/>
      <c r="C127" s="11" t="s">
        <v>52</v>
      </c>
      <c r="D127" s="11" t="s">
        <v>502</v>
      </c>
      <c r="E127" s="11" t="s">
        <v>503</v>
      </c>
      <c r="F127" s="11" t="s">
        <v>470</v>
      </c>
      <c r="G127" s="11" t="n">
        <v>3</v>
      </c>
      <c r="H127" s="11" t="s">
        <v>497</v>
      </c>
      <c r="I127" s="11" t="s">
        <v>498</v>
      </c>
      <c r="J127" s="11" t="n">
        <f aca="false">COUNTIF($H$2:$H$326,A127)</f>
        <v>5</v>
      </c>
      <c r="K127" s="11" t="s">
        <v>55</v>
      </c>
      <c r="L127" s="14"/>
      <c r="M127" s="11" t="s">
        <v>504</v>
      </c>
    </row>
    <row r="128" customFormat="false" ht="15" hidden="false" customHeight="true" outlineLevel="0" collapsed="false">
      <c r="A128" s="11" t="s">
        <v>505</v>
      </c>
      <c r="B128" s="12"/>
      <c r="C128" s="11" t="s">
        <v>52</v>
      </c>
      <c r="D128" s="11" t="s">
        <v>506</v>
      </c>
      <c r="E128" s="11" t="s">
        <v>507</v>
      </c>
      <c r="F128" s="11" t="s">
        <v>470</v>
      </c>
      <c r="G128" s="11" t="n">
        <v>4</v>
      </c>
      <c r="H128" s="11" t="s">
        <v>501</v>
      </c>
      <c r="I128" s="11" t="s">
        <v>502</v>
      </c>
      <c r="J128" s="11" t="n">
        <f aca="false">COUNTIF($H$2:$H$326,A128)</f>
        <v>0</v>
      </c>
      <c r="K128" s="11" t="s">
        <v>63</v>
      </c>
      <c r="L128" s="14"/>
      <c r="M128" s="11" t="s">
        <v>508</v>
      </c>
    </row>
    <row r="129" customFormat="false" ht="15" hidden="false" customHeight="true" outlineLevel="0" collapsed="false">
      <c r="A129" s="11" t="s">
        <v>509</v>
      </c>
      <c r="B129" s="12"/>
      <c r="C129" s="11" t="s">
        <v>52</v>
      </c>
      <c r="D129" s="11" t="s">
        <v>510</v>
      </c>
      <c r="E129" s="11" t="s">
        <v>511</v>
      </c>
      <c r="F129" s="11" t="s">
        <v>470</v>
      </c>
      <c r="G129" s="11" t="n">
        <v>4</v>
      </c>
      <c r="H129" s="11" t="s">
        <v>501</v>
      </c>
      <c r="I129" s="11" t="s">
        <v>502</v>
      </c>
      <c r="J129" s="11" t="n">
        <f aca="false">COUNTIF($H$2:$H$326,A129)</f>
        <v>0</v>
      </c>
      <c r="K129" s="11" t="s">
        <v>63</v>
      </c>
      <c r="L129" s="14"/>
      <c r="M129" s="11" t="s">
        <v>512</v>
      </c>
    </row>
    <row r="130" customFormat="false" ht="15" hidden="false" customHeight="true" outlineLevel="0" collapsed="false">
      <c r="A130" s="11" t="s">
        <v>513</v>
      </c>
      <c r="B130" s="12"/>
      <c r="C130" s="11" t="s">
        <v>52</v>
      </c>
      <c r="D130" s="11" t="s">
        <v>514</v>
      </c>
      <c r="E130" s="11" t="s">
        <v>515</v>
      </c>
      <c r="F130" s="11" t="s">
        <v>470</v>
      </c>
      <c r="G130" s="11" t="n">
        <v>4</v>
      </c>
      <c r="H130" s="11" t="s">
        <v>501</v>
      </c>
      <c r="I130" s="11" t="s">
        <v>502</v>
      </c>
      <c r="J130" s="11" t="n">
        <f aca="false">COUNTIF($H$2:$H$326,A130)</f>
        <v>0</v>
      </c>
      <c r="K130" s="11" t="s">
        <v>63</v>
      </c>
      <c r="L130" s="14"/>
      <c r="M130" s="11" t="s">
        <v>516</v>
      </c>
    </row>
    <row r="131" customFormat="false" ht="15" hidden="false" customHeight="true" outlineLevel="0" collapsed="false">
      <c r="A131" s="11" t="s">
        <v>517</v>
      </c>
      <c r="B131" s="12"/>
      <c r="C131" s="11" t="s">
        <v>52</v>
      </c>
      <c r="D131" s="11" t="s">
        <v>518</v>
      </c>
      <c r="E131" s="11" t="s">
        <v>519</v>
      </c>
      <c r="F131" s="11" t="s">
        <v>470</v>
      </c>
      <c r="G131" s="11" t="n">
        <v>4</v>
      </c>
      <c r="H131" s="11" t="s">
        <v>501</v>
      </c>
      <c r="I131" s="11" t="s">
        <v>502</v>
      </c>
      <c r="J131" s="11" t="n">
        <f aca="false">COUNTIF($H$2:$H$326,A131)</f>
        <v>0</v>
      </c>
      <c r="K131" s="11" t="s">
        <v>63</v>
      </c>
      <c r="L131" s="14"/>
      <c r="M131" s="11" t="s">
        <v>520</v>
      </c>
    </row>
    <row r="132" customFormat="false" ht="15" hidden="false" customHeight="true" outlineLevel="0" collapsed="false">
      <c r="A132" s="11" t="s">
        <v>521</v>
      </c>
      <c r="B132" s="12"/>
      <c r="C132" s="11" t="s">
        <v>52</v>
      </c>
      <c r="D132" s="11" t="s">
        <v>522</v>
      </c>
      <c r="E132" s="11" t="s">
        <v>523</v>
      </c>
      <c r="F132" s="11" t="s">
        <v>470</v>
      </c>
      <c r="G132" s="11" t="n">
        <v>4</v>
      </c>
      <c r="H132" s="11" t="s">
        <v>501</v>
      </c>
      <c r="I132" s="11" t="s">
        <v>502</v>
      </c>
      <c r="J132" s="11" t="n">
        <f aca="false">COUNTIF($H$2:$H$326,A132)</f>
        <v>0</v>
      </c>
      <c r="K132" s="11" t="s">
        <v>63</v>
      </c>
      <c r="L132" s="14"/>
      <c r="M132" s="11" t="s">
        <v>524</v>
      </c>
    </row>
    <row r="133" customFormat="false" ht="15" hidden="false" customHeight="true" outlineLevel="0" collapsed="false">
      <c r="A133" s="11" t="s">
        <v>525</v>
      </c>
      <c r="B133" s="12"/>
      <c r="C133" s="11" t="s">
        <v>52</v>
      </c>
      <c r="D133" s="11" t="s">
        <v>526</v>
      </c>
      <c r="E133" s="11" t="s">
        <v>527</v>
      </c>
      <c r="F133" s="11" t="s">
        <v>470</v>
      </c>
      <c r="G133" s="11" t="n">
        <v>3</v>
      </c>
      <c r="H133" s="11" t="s">
        <v>497</v>
      </c>
      <c r="I133" s="11" t="s">
        <v>498</v>
      </c>
      <c r="J133" s="11" t="n">
        <f aca="false">COUNTIF($H$2:$H$326,A133)</f>
        <v>4</v>
      </c>
      <c r="K133" s="11" t="s">
        <v>55</v>
      </c>
      <c r="L133" s="14"/>
      <c r="M133" s="11" t="s">
        <v>528</v>
      </c>
    </row>
    <row r="134" customFormat="false" ht="15" hidden="false" customHeight="true" outlineLevel="0" collapsed="false">
      <c r="A134" s="11" t="s">
        <v>529</v>
      </c>
      <c r="B134" s="12"/>
      <c r="C134" s="11" t="s">
        <v>52</v>
      </c>
      <c r="D134" s="11" t="s">
        <v>530</v>
      </c>
      <c r="E134" s="11" t="s">
        <v>531</v>
      </c>
      <c r="F134" s="11" t="s">
        <v>470</v>
      </c>
      <c r="G134" s="11" t="n">
        <v>4</v>
      </c>
      <c r="H134" s="11" t="s">
        <v>525</v>
      </c>
      <c r="I134" s="11" t="s">
        <v>526</v>
      </c>
      <c r="J134" s="11" t="n">
        <f aca="false">COUNTIF($H$2:$H$326,A134)</f>
        <v>0</v>
      </c>
      <c r="K134" s="11" t="s">
        <v>63</v>
      </c>
      <c r="L134" s="14"/>
      <c r="M134" s="11" t="s">
        <v>532</v>
      </c>
    </row>
    <row r="135" customFormat="false" ht="15" hidden="false" customHeight="true" outlineLevel="0" collapsed="false">
      <c r="A135" s="11" t="s">
        <v>533</v>
      </c>
      <c r="B135" s="12"/>
      <c r="C135" s="11" t="s">
        <v>52</v>
      </c>
      <c r="D135" s="11" t="s">
        <v>534</v>
      </c>
      <c r="E135" s="11" t="s">
        <v>535</v>
      </c>
      <c r="F135" s="11" t="s">
        <v>470</v>
      </c>
      <c r="G135" s="11" t="n">
        <v>4</v>
      </c>
      <c r="H135" s="11" t="s">
        <v>525</v>
      </c>
      <c r="I135" s="11" t="s">
        <v>526</v>
      </c>
      <c r="J135" s="11" t="n">
        <f aca="false">COUNTIF($H$2:$H$326,A135)</f>
        <v>0</v>
      </c>
      <c r="K135" s="11" t="s">
        <v>63</v>
      </c>
      <c r="L135" s="14"/>
      <c r="M135" s="11" t="s">
        <v>536</v>
      </c>
    </row>
    <row r="136" customFormat="false" ht="15" hidden="false" customHeight="true" outlineLevel="0" collapsed="false">
      <c r="A136" s="11" t="s">
        <v>537</v>
      </c>
      <c r="B136" s="12"/>
      <c r="C136" s="11" t="s">
        <v>52</v>
      </c>
      <c r="D136" s="11" t="s">
        <v>538</v>
      </c>
      <c r="E136" s="11" t="s">
        <v>539</v>
      </c>
      <c r="F136" s="11" t="s">
        <v>470</v>
      </c>
      <c r="G136" s="11" t="n">
        <v>4</v>
      </c>
      <c r="H136" s="11" t="s">
        <v>525</v>
      </c>
      <c r="I136" s="11" t="s">
        <v>526</v>
      </c>
      <c r="J136" s="11" t="n">
        <f aca="false">COUNTIF($H$2:$H$326,A136)</f>
        <v>0</v>
      </c>
      <c r="K136" s="11" t="s">
        <v>63</v>
      </c>
      <c r="L136" s="14"/>
      <c r="M136" s="11" t="s">
        <v>540</v>
      </c>
    </row>
    <row r="137" customFormat="false" ht="15" hidden="false" customHeight="true" outlineLevel="0" collapsed="false">
      <c r="A137" s="11" t="s">
        <v>541</v>
      </c>
      <c r="B137" s="12"/>
      <c r="C137" s="11" t="s">
        <v>52</v>
      </c>
      <c r="D137" s="11" t="s">
        <v>542</v>
      </c>
      <c r="E137" s="11" t="s">
        <v>339</v>
      </c>
      <c r="F137" s="11" t="s">
        <v>470</v>
      </c>
      <c r="G137" s="11" t="n">
        <v>4</v>
      </c>
      <c r="H137" s="11" t="s">
        <v>525</v>
      </c>
      <c r="I137" s="11" t="s">
        <v>526</v>
      </c>
      <c r="J137" s="11" t="n">
        <f aca="false">COUNTIF($H$2:$H$326,A137)</f>
        <v>0</v>
      </c>
      <c r="K137" s="11" t="s">
        <v>63</v>
      </c>
      <c r="L137" s="14"/>
      <c r="M137" s="11" t="s">
        <v>543</v>
      </c>
    </row>
    <row r="138" customFormat="false" ht="15" hidden="false" customHeight="true" outlineLevel="0" collapsed="false">
      <c r="A138" s="11" t="s">
        <v>544</v>
      </c>
      <c r="B138" s="12"/>
      <c r="C138" s="11" t="s">
        <v>52</v>
      </c>
      <c r="D138" s="11" t="s">
        <v>545</v>
      </c>
      <c r="E138" s="11" t="s">
        <v>546</v>
      </c>
      <c r="F138" s="11" t="s">
        <v>470</v>
      </c>
      <c r="G138" s="11" t="n">
        <v>3</v>
      </c>
      <c r="H138" s="11" t="s">
        <v>497</v>
      </c>
      <c r="I138" s="11" t="s">
        <v>498</v>
      </c>
      <c r="J138" s="11" t="n">
        <f aca="false">COUNTIF($H$2:$H$326,A138)</f>
        <v>3</v>
      </c>
      <c r="K138" s="11" t="s">
        <v>55</v>
      </c>
      <c r="L138" s="14"/>
      <c r="M138" s="11" t="s">
        <v>547</v>
      </c>
    </row>
    <row r="139" customFormat="false" ht="15" hidden="false" customHeight="true" outlineLevel="0" collapsed="false">
      <c r="A139" s="11" t="s">
        <v>548</v>
      </c>
      <c r="B139" s="12"/>
      <c r="C139" s="11" t="s">
        <v>52</v>
      </c>
      <c r="D139" s="11" t="s">
        <v>549</v>
      </c>
      <c r="E139" s="11" t="s">
        <v>550</v>
      </c>
      <c r="F139" s="11" t="s">
        <v>470</v>
      </c>
      <c r="G139" s="11" t="n">
        <v>4</v>
      </c>
      <c r="H139" s="11" t="s">
        <v>544</v>
      </c>
      <c r="I139" s="11" t="s">
        <v>545</v>
      </c>
      <c r="J139" s="11" t="n">
        <f aca="false">COUNTIF($H$2:$H$326,A139)</f>
        <v>1</v>
      </c>
      <c r="K139" s="11" t="s">
        <v>55</v>
      </c>
      <c r="L139" s="14"/>
      <c r="M139" s="11" t="s">
        <v>551</v>
      </c>
    </row>
    <row r="140" customFormat="false" ht="15" hidden="false" customHeight="true" outlineLevel="0" collapsed="false">
      <c r="A140" s="11" t="s">
        <v>552</v>
      </c>
      <c r="B140" s="12"/>
      <c r="C140" s="11" t="s">
        <v>52</v>
      </c>
      <c r="D140" s="11" t="s">
        <v>553</v>
      </c>
      <c r="E140" s="11" t="s">
        <v>554</v>
      </c>
      <c r="F140" s="11" t="s">
        <v>470</v>
      </c>
      <c r="G140" s="11" t="n">
        <v>5</v>
      </c>
      <c r="H140" s="11" t="s">
        <v>548</v>
      </c>
      <c r="I140" s="11" t="s">
        <v>549</v>
      </c>
      <c r="J140" s="11" t="n">
        <f aca="false">COUNTIF($H$2:$H$326,A140)</f>
        <v>0</v>
      </c>
      <c r="K140" s="11" t="s">
        <v>63</v>
      </c>
      <c r="L140" s="14"/>
      <c r="M140" s="11" t="s">
        <v>555</v>
      </c>
    </row>
    <row r="141" customFormat="false" ht="15" hidden="false" customHeight="true" outlineLevel="0" collapsed="false">
      <c r="A141" s="11" t="s">
        <v>556</v>
      </c>
      <c r="B141" s="12"/>
      <c r="C141" s="11" t="s">
        <v>52</v>
      </c>
      <c r="D141" s="11" t="s">
        <v>557</v>
      </c>
      <c r="E141" s="11" t="s">
        <v>100</v>
      </c>
      <c r="F141" s="11" t="s">
        <v>470</v>
      </c>
      <c r="G141" s="11" t="n">
        <v>4</v>
      </c>
      <c r="H141" s="11" t="s">
        <v>544</v>
      </c>
      <c r="I141" s="11" t="s">
        <v>545</v>
      </c>
      <c r="J141" s="11" t="n">
        <f aca="false">COUNTIF($H$2:$H$326,A141)</f>
        <v>3</v>
      </c>
      <c r="K141" s="11" t="s">
        <v>100</v>
      </c>
      <c r="L141" s="14"/>
      <c r="M141" s="11" t="s">
        <v>558</v>
      </c>
    </row>
    <row r="142" customFormat="false" ht="15" hidden="false" customHeight="true" outlineLevel="0" collapsed="false">
      <c r="A142" s="11" t="s">
        <v>559</v>
      </c>
      <c r="B142" s="12"/>
      <c r="C142" s="11" t="s">
        <v>52</v>
      </c>
      <c r="D142" s="11" t="s">
        <v>560</v>
      </c>
      <c r="E142" s="11" t="s">
        <v>561</v>
      </c>
      <c r="F142" s="11" t="s">
        <v>470</v>
      </c>
      <c r="G142" s="11" t="n">
        <v>5</v>
      </c>
      <c r="H142" s="11" t="s">
        <v>556</v>
      </c>
      <c r="I142" s="11" t="s">
        <v>557</v>
      </c>
      <c r="J142" s="11" t="n">
        <f aca="false">COUNTIF($H$2:$H$326,A142)</f>
        <v>0</v>
      </c>
      <c r="K142" s="11" t="s">
        <v>63</v>
      </c>
      <c r="L142" s="14"/>
      <c r="M142" s="11" t="s">
        <v>562</v>
      </c>
    </row>
    <row r="143" customFormat="false" ht="15" hidden="false" customHeight="true" outlineLevel="0" collapsed="false">
      <c r="A143" s="11" t="s">
        <v>563</v>
      </c>
      <c r="B143" s="12"/>
      <c r="C143" s="11" t="s">
        <v>52</v>
      </c>
      <c r="D143" s="11" t="s">
        <v>564</v>
      </c>
      <c r="E143" s="11" t="s">
        <v>561</v>
      </c>
      <c r="F143" s="11" t="s">
        <v>470</v>
      </c>
      <c r="G143" s="11" t="n">
        <v>5</v>
      </c>
      <c r="H143" s="11" t="s">
        <v>556</v>
      </c>
      <c r="I143" s="11" t="s">
        <v>557</v>
      </c>
      <c r="J143" s="11" t="n">
        <f aca="false">COUNTIF($H$2:$H$326,A143)</f>
        <v>0</v>
      </c>
      <c r="K143" s="11" t="s">
        <v>63</v>
      </c>
      <c r="L143" s="13" t="s">
        <v>72</v>
      </c>
      <c r="M143" s="11" t="s">
        <v>565</v>
      </c>
    </row>
    <row r="144" customFormat="false" ht="15" hidden="false" customHeight="true" outlineLevel="0" collapsed="false">
      <c r="A144" s="11" t="s">
        <v>566</v>
      </c>
      <c r="B144" s="12"/>
      <c r="C144" s="11" t="s">
        <v>52</v>
      </c>
      <c r="D144" s="11" t="s">
        <v>567</v>
      </c>
      <c r="E144" s="11" t="s">
        <v>561</v>
      </c>
      <c r="F144" s="11" t="s">
        <v>470</v>
      </c>
      <c r="G144" s="11" t="n">
        <v>5</v>
      </c>
      <c r="H144" s="11" t="s">
        <v>556</v>
      </c>
      <c r="I144" s="11" t="s">
        <v>557</v>
      </c>
      <c r="J144" s="11" t="n">
        <f aca="false">COUNTIF($H$2:$H$326,A144)</f>
        <v>0</v>
      </c>
      <c r="K144" s="11" t="s">
        <v>63</v>
      </c>
      <c r="L144" s="14"/>
      <c r="M144" s="11" t="s">
        <v>568</v>
      </c>
    </row>
    <row r="145" customFormat="false" ht="15" hidden="false" customHeight="true" outlineLevel="0" collapsed="false">
      <c r="A145" s="11" t="s">
        <v>569</v>
      </c>
      <c r="B145" s="12"/>
      <c r="C145" s="11" t="s">
        <v>52</v>
      </c>
      <c r="D145" s="11" t="s">
        <v>570</v>
      </c>
      <c r="E145" s="11" t="s">
        <v>571</v>
      </c>
      <c r="F145" s="11" t="s">
        <v>470</v>
      </c>
      <c r="G145" s="11" t="n">
        <v>4</v>
      </c>
      <c r="H145" s="11" t="s">
        <v>544</v>
      </c>
      <c r="I145" s="11" t="s">
        <v>545</v>
      </c>
      <c r="J145" s="11" t="n">
        <f aca="false">COUNTIF($H$2:$H$326,A145)</f>
        <v>2</v>
      </c>
      <c r="K145" s="11" t="s">
        <v>55</v>
      </c>
      <c r="L145" s="14"/>
      <c r="M145" s="11" t="s">
        <v>572</v>
      </c>
    </row>
    <row r="146" customFormat="false" ht="15" hidden="false" customHeight="true" outlineLevel="0" collapsed="false">
      <c r="A146" s="11" t="s">
        <v>573</v>
      </c>
      <c r="B146" s="12"/>
      <c r="C146" s="11" t="s">
        <v>52</v>
      </c>
      <c r="D146" s="11" t="s">
        <v>574</v>
      </c>
      <c r="E146" s="11" t="s">
        <v>561</v>
      </c>
      <c r="F146" s="11" t="s">
        <v>470</v>
      </c>
      <c r="G146" s="11" t="n">
        <v>5</v>
      </c>
      <c r="H146" s="11" t="s">
        <v>569</v>
      </c>
      <c r="I146" s="11" t="s">
        <v>570</v>
      </c>
      <c r="J146" s="11" t="n">
        <f aca="false">COUNTIF($H$2:$H$326,A146)</f>
        <v>0</v>
      </c>
      <c r="K146" s="11" t="s">
        <v>63</v>
      </c>
      <c r="L146" s="14"/>
      <c r="M146" s="11" t="s">
        <v>575</v>
      </c>
    </row>
    <row r="147" customFormat="false" ht="15" hidden="false" customHeight="true" outlineLevel="0" collapsed="false">
      <c r="A147" s="11" t="s">
        <v>576</v>
      </c>
      <c r="B147" s="12"/>
      <c r="C147" s="11" t="s">
        <v>52</v>
      </c>
      <c r="D147" s="11" t="s">
        <v>577</v>
      </c>
      <c r="E147" s="11" t="s">
        <v>561</v>
      </c>
      <c r="F147" s="11" t="s">
        <v>470</v>
      </c>
      <c r="G147" s="11" t="n">
        <v>5</v>
      </c>
      <c r="H147" s="11" t="s">
        <v>569</v>
      </c>
      <c r="I147" s="11" t="s">
        <v>570</v>
      </c>
      <c r="J147" s="11" t="n">
        <f aca="false">COUNTIF($H$2:$H$326,A147)</f>
        <v>0</v>
      </c>
      <c r="K147" s="11" t="s">
        <v>63</v>
      </c>
      <c r="L147" s="14"/>
      <c r="M147" s="11" t="s">
        <v>578</v>
      </c>
    </row>
    <row r="148" customFormat="false" ht="15" hidden="false" customHeight="true" outlineLevel="0" collapsed="false">
      <c r="A148" s="11" t="s">
        <v>579</v>
      </c>
      <c r="B148" s="12"/>
      <c r="C148" s="11" t="s">
        <v>52</v>
      </c>
      <c r="D148" s="11" t="s">
        <v>580</v>
      </c>
      <c r="E148" s="11" t="s">
        <v>581</v>
      </c>
      <c r="F148" s="11" t="s">
        <v>470</v>
      </c>
      <c r="G148" s="11" t="n">
        <v>3</v>
      </c>
      <c r="H148" s="11" t="s">
        <v>497</v>
      </c>
      <c r="I148" s="11" t="s">
        <v>498</v>
      </c>
      <c r="J148" s="11" t="n">
        <f aca="false">COUNTIF($H$2:$H$326,A148)</f>
        <v>5</v>
      </c>
      <c r="K148" s="11" t="s">
        <v>55</v>
      </c>
      <c r="L148" s="14"/>
      <c r="M148" s="11" t="s">
        <v>582</v>
      </c>
    </row>
    <row r="149" customFormat="false" ht="15" hidden="false" customHeight="true" outlineLevel="0" collapsed="false">
      <c r="A149" s="11" t="s">
        <v>583</v>
      </c>
      <c r="B149" s="12"/>
      <c r="C149" s="11" t="s">
        <v>52</v>
      </c>
      <c r="D149" s="11" t="s">
        <v>584</v>
      </c>
      <c r="E149" s="11" t="s">
        <v>585</v>
      </c>
      <c r="F149" s="11" t="s">
        <v>470</v>
      </c>
      <c r="G149" s="11" t="n">
        <v>4</v>
      </c>
      <c r="H149" s="11" t="s">
        <v>579</v>
      </c>
      <c r="I149" s="11" t="s">
        <v>580</v>
      </c>
      <c r="J149" s="11" t="n">
        <f aca="false">COUNTIF($H$2:$H$326,A149)</f>
        <v>0</v>
      </c>
      <c r="K149" s="11" t="s">
        <v>63</v>
      </c>
      <c r="L149" s="14"/>
      <c r="M149" s="11" t="s">
        <v>586</v>
      </c>
    </row>
    <row r="150" customFormat="false" ht="15" hidden="false" customHeight="true" outlineLevel="0" collapsed="false">
      <c r="A150" s="11" t="s">
        <v>587</v>
      </c>
      <c r="B150" s="12"/>
      <c r="C150" s="11" t="s">
        <v>52</v>
      </c>
      <c r="D150" s="11" t="s">
        <v>588</v>
      </c>
      <c r="E150" s="11" t="s">
        <v>585</v>
      </c>
      <c r="F150" s="11" t="s">
        <v>470</v>
      </c>
      <c r="G150" s="11" t="n">
        <v>4</v>
      </c>
      <c r="H150" s="11" t="s">
        <v>579</v>
      </c>
      <c r="I150" s="11" t="s">
        <v>580</v>
      </c>
      <c r="J150" s="11" t="n">
        <f aca="false">COUNTIF($H$2:$H$326,A150)</f>
        <v>0</v>
      </c>
      <c r="K150" s="11" t="s">
        <v>63</v>
      </c>
      <c r="L150" s="14"/>
      <c r="M150" s="11" t="s">
        <v>589</v>
      </c>
    </row>
    <row r="151" customFormat="false" ht="15" hidden="false" customHeight="true" outlineLevel="0" collapsed="false">
      <c r="A151" s="11" t="s">
        <v>590</v>
      </c>
      <c r="B151" s="12"/>
      <c r="C151" s="11" t="s">
        <v>52</v>
      </c>
      <c r="D151" s="11" t="s">
        <v>591</v>
      </c>
      <c r="E151" s="11" t="s">
        <v>592</v>
      </c>
      <c r="F151" s="11" t="s">
        <v>470</v>
      </c>
      <c r="G151" s="11" t="n">
        <v>4</v>
      </c>
      <c r="H151" s="11" t="s">
        <v>579</v>
      </c>
      <c r="I151" s="11" t="s">
        <v>580</v>
      </c>
      <c r="J151" s="11" t="n">
        <f aca="false">COUNTIF($H$2:$H$326,A151)</f>
        <v>0</v>
      </c>
      <c r="K151" s="11" t="s">
        <v>63</v>
      </c>
      <c r="L151" s="14"/>
      <c r="M151" s="11" t="s">
        <v>593</v>
      </c>
    </row>
    <row r="152" customFormat="false" ht="15" hidden="false" customHeight="true" outlineLevel="0" collapsed="false">
      <c r="A152" s="11" t="s">
        <v>594</v>
      </c>
      <c r="B152" s="12"/>
      <c r="C152" s="11" t="s">
        <v>52</v>
      </c>
      <c r="D152" s="11" t="s">
        <v>595</v>
      </c>
      <c r="E152" s="11" t="s">
        <v>495</v>
      </c>
      <c r="F152" s="11" t="s">
        <v>470</v>
      </c>
      <c r="G152" s="11" t="n">
        <v>4</v>
      </c>
      <c r="H152" s="11" t="s">
        <v>579</v>
      </c>
      <c r="I152" s="11" t="s">
        <v>580</v>
      </c>
      <c r="J152" s="11" t="n">
        <f aca="false">COUNTIF($H$2:$H$326,A152)</f>
        <v>0</v>
      </c>
      <c r="K152" s="11" t="s">
        <v>63</v>
      </c>
      <c r="L152" s="14"/>
      <c r="M152" s="11" t="s">
        <v>596</v>
      </c>
    </row>
    <row r="153" customFormat="false" ht="15" hidden="false" customHeight="true" outlineLevel="0" collapsed="false">
      <c r="A153" s="11" t="s">
        <v>597</v>
      </c>
      <c r="B153" s="12"/>
      <c r="C153" s="11" t="s">
        <v>52</v>
      </c>
      <c r="D153" s="11" t="s">
        <v>598</v>
      </c>
      <c r="E153" s="11" t="s">
        <v>459</v>
      </c>
      <c r="F153" s="11" t="s">
        <v>470</v>
      </c>
      <c r="G153" s="11" t="n">
        <v>4</v>
      </c>
      <c r="H153" s="11" t="s">
        <v>579</v>
      </c>
      <c r="I153" s="11" t="s">
        <v>580</v>
      </c>
      <c r="J153" s="11" t="n">
        <f aca="false">COUNTIF($H$2:$H$326,A153)</f>
        <v>0</v>
      </c>
      <c r="K153" s="11" t="s">
        <v>63</v>
      </c>
      <c r="L153" s="13" t="s">
        <v>161</v>
      </c>
      <c r="M153" s="11" t="s">
        <v>599</v>
      </c>
    </row>
    <row r="154" customFormat="false" ht="23.25" hidden="false" customHeight="true" outlineLevel="0" collapsed="false">
      <c r="A154" s="11" t="s">
        <v>600</v>
      </c>
      <c r="B154" s="12"/>
      <c r="C154" s="11" t="s">
        <v>52</v>
      </c>
      <c r="D154" s="11" t="s">
        <v>601</v>
      </c>
      <c r="E154" s="11" t="s">
        <v>602</v>
      </c>
      <c r="F154" s="11" t="s">
        <v>470</v>
      </c>
      <c r="G154" s="11" t="n">
        <v>3</v>
      </c>
      <c r="H154" s="11" t="s">
        <v>497</v>
      </c>
      <c r="I154" s="11" t="s">
        <v>498</v>
      </c>
      <c r="J154" s="11" t="n">
        <f aca="false">COUNTIF($H$2:$H$326,A154)</f>
        <v>0</v>
      </c>
      <c r="K154" s="11" t="s">
        <v>63</v>
      </c>
      <c r="L154" s="13" t="s">
        <v>603</v>
      </c>
      <c r="M154" s="11" t="s">
        <v>604</v>
      </c>
    </row>
    <row r="155" customFormat="false" ht="15" hidden="false" customHeight="true" outlineLevel="0" collapsed="false">
      <c r="A155" s="11" t="s">
        <v>605</v>
      </c>
      <c r="B155" s="12"/>
      <c r="C155" s="11" t="s">
        <v>52</v>
      </c>
      <c r="D155" s="11" t="s">
        <v>606</v>
      </c>
      <c r="E155" s="11" t="s">
        <v>607</v>
      </c>
      <c r="F155" s="11" t="s">
        <v>470</v>
      </c>
      <c r="G155" s="11" t="n">
        <v>2</v>
      </c>
      <c r="H155" s="11" t="s">
        <v>467</v>
      </c>
      <c r="I155" s="11" t="s">
        <v>468</v>
      </c>
      <c r="J155" s="11" t="n">
        <f aca="false">COUNTIF($H$2:$H$326,A155)</f>
        <v>0</v>
      </c>
      <c r="K155" s="11" t="s">
        <v>63</v>
      </c>
      <c r="L155" s="14"/>
      <c r="M155" s="11" t="s">
        <v>608</v>
      </c>
    </row>
    <row r="156" customFormat="false" ht="15" hidden="false" customHeight="true" outlineLevel="0" collapsed="false">
      <c r="A156" s="11" t="s">
        <v>609</v>
      </c>
      <c r="B156" s="12"/>
      <c r="C156" s="11" t="s">
        <v>52</v>
      </c>
      <c r="D156" s="11" t="s">
        <v>610</v>
      </c>
      <c r="E156" s="11" t="s">
        <v>611</v>
      </c>
      <c r="F156" s="11" t="s">
        <v>470</v>
      </c>
      <c r="G156" s="11" t="n">
        <v>2</v>
      </c>
      <c r="H156" s="11" t="s">
        <v>467</v>
      </c>
      <c r="I156" s="11" t="s">
        <v>468</v>
      </c>
      <c r="J156" s="11" t="n">
        <f aca="false">COUNTIF($H$2:$H$326,A156)</f>
        <v>0</v>
      </c>
      <c r="K156" s="11" t="s">
        <v>63</v>
      </c>
      <c r="L156" s="13" t="s">
        <v>105</v>
      </c>
      <c r="M156" s="11" t="s">
        <v>612</v>
      </c>
    </row>
    <row r="157" customFormat="false" ht="15" hidden="false" customHeight="true" outlineLevel="0" collapsed="false">
      <c r="A157" s="11" t="s">
        <v>613</v>
      </c>
      <c r="B157" s="12"/>
      <c r="C157" s="11" t="s">
        <v>52</v>
      </c>
      <c r="D157" s="11" t="s">
        <v>614</v>
      </c>
      <c r="E157" s="11" t="s">
        <v>611</v>
      </c>
      <c r="F157" s="11" t="s">
        <v>470</v>
      </c>
      <c r="G157" s="11" t="n">
        <v>2</v>
      </c>
      <c r="H157" s="11" t="s">
        <v>467</v>
      </c>
      <c r="I157" s="11" t="s">
        <v>468</v>
      </c>
      <c r="J157" s="11" t="n">
        <f aca="false">COUNTIF($H$2:$H$326,A157)</f>
        <v>0</v>
      </c>
      <c r="K157" s="11" t="s">
        <v>63</v>
      </c>
      <c r="L157" s="14"/>
      <c r="M157" s="11" t="s">
        <v>615</v>
      </c>
    </row>
    <row r="158" customFormat="false" ht="15" hidden="false" customHeight="true" outlineLevel="0" collapsed="false">
      <c r="A158" s="11" t="s">
        <v>616</v>
      </c>
      <c r="B158" s="12"/>
      <c r="C158" s="11" t="s">
        <v>52</v>
      </c>
      <c r="D158" s="11" t="s">
        <v>617</v>
      </c>
      <c r="E158" s="11" t="s">
        <v>618</v>
      </c>
      <c r="F158" s="11" t="s">
        <v>619</v>
      </c>
      <c r="G158" s="11" t="n">
        <v>1</v>
      </c>
      <c r="H158" s="11"/>
      <c r="I158" s="11"/>
      <c r="J158" s="11" t="n">
        <f aca="false">COUNTIF($H$2:$H$326,A158)</f>
        <v>4</v>
      </c>
      <c r="K158" s="11" t="s">
        <v>348</v>
      </c>
      <c r="L158" s="14"/>
      <c r="M158" s="11" t="s">
        <v>620</v>
      </c>
    </row>
    <row r="159" customFormat="false" ht="15" hidden="false" customHeight="true" outlineLevel="0" collapsed="false">
      <c r="A159" s="11" t="s">
        <v>621</v>
      </c>
      <c r="B159" s="12"/>
      <c r="C159" s="11" t="s">
        <v>52</v>
      </c>
      <c r="D159" s="11" t="s">
        <v>622</v>
      </c>
      <c r="E159" s="11" t="s">
        <v>623</v>
      </c>
      <c r="F159" s="11" t="s">
        <v>619</v>
      </c>
      <c r="G159" s="11" t="n">
        <v>2</v>
      </c>
      <c r="H159" s="11" t="s">
        <v>616</v>
      </c>
      <c r="I159" s="11" t="s">
        <v>617</v>
      </c>
      <c r="J159" s="11" t="n">
        <f aca="false">COUNTIF($H$2:$H$326,A159)</f>
        <v>0</v>
      </c>
      <c r="K159" s="11" t="s">
        <v>63</v>
      </c>
      <c r="L159" s="14"/>
      <c r="M159" s="11" t="s">
        <v>624</v>
      </c>
    </row>
    <row r="160" customFormat="false" ht="15" hidden="false" customHeight="true" outlineLevel="0" collapsed="false">
      <c r="A160" s="11" t="s">
        <v>625</v>
      </c>
      <c r="B160" s="12"/>
      <c r="C160" s="11" t="s">
        <v>52</v>
      </c>
      <c r="D160" s="11" t="s">
        <v>626</v>
      </c>
      <c r="E160" s="11" t="s">
        <v>627</v>
      </c>
      <c r="F160" s="11" t="s">
        <v>619</v>
      </c>
      <c r="G160" s="11" t="n">
        <v>2</v>
      </c>
      <c r="H160" s="11" t="s">
        <v>616</v>
      </c>
      <c r="I160" s="11" t="s">
        <v>617</v>
      </c>
      <c r="J160" s="11" t="n">
        <f aca="false">COUNTIF($H$2:$H$326,A160)</f>
        <v>0</v>
      </c>
      <c r="K160" s="11" t="s">
        <v>63</v>
      </c>
      <c r="L160" s="14"/>
      <c r="M160" s="11" t="s">
        <v>628</v>
      </c>
    </row>
    <row r="161" customFormat="false" ht="15" hidden="false" customHeight="true" outlineLevel="0" collapsed="false">
      <c r="A161" s="11" t="s">
        <v>629</v>
      </c>
      <c r="B161" s="12"/>
      <c r="C161" s="11" t="s">
        <v>52</v>
      </c>
      <c r="D161" s="11" t="s">
        <v>630</v>
      </c>
      <c r="E161" s="11" t="s">
        <v>631</v>
      </c>
      <c r="F161" s="11" t="s">
        <v>619</v>
      </c>
      <c r="G161" s="11" t="n">
        <v>2</v>
      </c>
      <c r="H161" s="11" t="s">
        <v>616</v>
      </c>
      <c r="I161" s="11" t="s">
        <v>617</v>
      </c>
      <c r="J161" s="11" t="n">
        <f aca="false">COUNTIF($H$2:$H$326,A161)</f>
        <v>0</v>
      </c>
      <c r="K161" s="11" t="s">
        <v>63</v>
      </c>
      <c r="L161" s="14"/>
      <c r="M161" s="11" t="s">
        <v>632</v>
      </c>
    </row>
    <row r="162" customFormat="false" ht="15" hidden="false" customHeight="true" outlineLevel="0" collapsed="false">
      <c r="A162" s="11" t="s">
        <v>633</v>
      </c>
      <c r="B162" s="12"/>
      <c r="C162" s="11" t="s">
        <v>52</v>
      </c>
      <c r="D162" s="11" t="s">
        <v>296</v>
      </c>
      <c r="E162" s="11" t="s">
        <v>55</v>
      </c>
      <c r="F162" s="11" t="s">
        <v>619</v>
      </c>
      <c r="G162" s="11" t="n">
        <v>2</v>
      </c>
      <c r="H162" s="11" t="s">
        <v>616</v>
      </c>
      <c r="I162" s="11" t="s">
        <v>617</v>
      </c>
      <c r="J162" s="11" t="n">
        <f aca="false">COUNTIF($H$2:$H$326,A162)</f>
        <v>4</v>
      </c>
      <c r="K162" s="11" t="s">
        <v>55</v>
      </c>
      <c r="L162" s="13" t="s">
        <v>105</v>
      </c>
      <c r="M162" s="11" t="s">
        <v>634</v>
      </c>
    </row>
    <row r="163" customFormat="false" ht="15" hidden="false" customHeight="true" outlineLevel="0" collapsed="false">
      <c r="A163" s="11" t="s">
        <v>635</v>
      </c>
      <c r="B163" s="12"/>
      <c r="C163" s="11" t="s">
        <v>52</v>
      </c>
      <c r="D163" s="11" t="s">
        <v>636</v>
      </c>
      <c r="E163" s="11" t="s">
        <v>637</v>
      </c>
      <c r="F163" s="11" t="s">
        <v>619</v>
      </c>
      <c r="G163" s="11" t="n">
        <v>3</v>
      </c>
      <c r="H163" s="11" t="s">
        <v>633</v>
      </c>
      <c r="I163" s="11" t="s">
        <v>296</v>
      </c>
      <c r="J163" s="11" t="n">
        <f aca="false">COUNTIF($H$2:$H$326,A163)</f>
        <v>2</v>
      </c>
      <c r="K163" s="11" t="s">
        <v>100</v>
      </c>
      <c r="L163" s="14"/>
      <c r="M163" s="11" t="s">
        <v>638</v>
      </c>
    </row>
    <row r="164" customFormat="false" ht="15" hidden="false" customHeight="true" outlineLevel="0" collapsed="false">
      <c r="A164" s="11" t="s">
        <v>639</v>
      </c>
      <c r="B164" s="12"/>
      <c r="C164" s="11" t="s">
        <v>52</v>
      </c>
      <c r="D164" s="11" t="s">
        <v>640</v>
      </c>
      <c r="E164" s="11" t="s">
        <v>641</v>
      </c>
      <c r="F164" s="11" t="s">
        <v>619</v>
      </c>
      <c r="G164" s="11" t="n">
        <v>4</v>
      </c>
      <c r="H164" s="11" t="s">
        <v>635</v>
      </c>
      <c r="I164" s="11" t="s">
        <v>636</v>
      </c>
      <c r="J164" s="11" t="n">
        <f aca="false">COUNTIF($H$2:$H$326,A164)</f>
        <v>0</v>
      </c>
      <c r="K164" s="11" t="s">
        <v>63</v>
      </c>
      <c r="L164" s="13" t="s">
        <v>105</v>
      </c>
      <c r="M164" s="11" t="s">
        <v>642</v>
      </c>
    </row>
    <row r="165" customFormat="false" ht="15" hidden="false" customHeight="true" outlineLevel="0" collapsed="false">
      <c r="A165" s="11" t="s">
        <v>643</v>
      </c>
      <c r="B165" s="12"/>
      <c r="C165" s="11" t="s">
        <v>52</v>
      </c>
      <c r="D165" s="11" t="s">
        <v>644</v>
      </c>
      <c r="E165" s="11" t="s">
        <v>645</v>
      </c>
      <c r="F165" s="11" t="s">
        <v>619</v>
      </c>
      <c r="G165" s="11" t="n">
        <v>4</v>
      </c>
      <c r="H165" s="11" t="s">
        <v>635</v>
      </c>
      <c r="I165" s="11" t="s">
        <v>636</v>
      </c>
      <c r="J165" s="11" t="n">
        <f aca="false">COUNTIF($H$2:$H$326,A165)</f>
        <v>0</v>
      </c>
      <c r="K165" s="11" t="s">
        <v>63</v>
      </c>
      <c r="L165" s="13" t="s">
        <v>72</v>
      </c>
      <c r="M165" s="11" t="s">
        <v>646</v>
      </c>
    </row>
    <row r="166" customFormat="false" ht="15" hidden="false" customHeight="true" outlineLevel="0" collapsed="false">
      <c r="A166" s="11" t="s">
        <v>647</v>
      </c>
      <c r="B166" s="12"/>
      <c r="C166" s="11" t="s">
        <v>52</v>
      </c>
      <c r="D166" s="11" t="s">
        <v>648</v>
      </c>
      <c r="E166" s="11" t="s">
        <v>649</v>
      </c>
      <c r="F166" s="11" t="s">
        <v>619</v>
      </c>
      <c r="G166" s="11" t="n">
        <v>3</v>
      </c>
      <c r="H166" s="11" t="s">
        <v>633</v>
      </c>
      <c r="I166" s="11" t="s">
        <v>296</v>
      </c>
      <c r="J166" s="11" t="n">
        <f aca="false">COUNTIF($H$2:$H$326,A166)</f>
        <v>1</v>
      </c>
      <c r="K166" s="11" t="s">
        <v>55</v>
      </c>
      <c r="L166" s="14"/>
      <c r="M166" s="11" t="s">
        <v>650</v>
      </c>
    </row>
    <row r="167" customFormat="false" ht="15" hidden="false" customHeight="true" outlineLevel="0" collapsed="false">
      <c r="A167" s="11" t="s">
        <v>651</v>
      </c>
      <c r="B167" s="12"/>
      <c r="C167" s="11" t="s">
        <v>52</v>
      </c>
      <c r="D167" s="11" t="s">
        <v>652</v>
      </c>
      <c r="E167" s="11" t="s">
        <v>653</v>
      </c>
      <c r="F167" s="11" t="s">
        <v>619</v>
      </c>
      <c r="G167" s="11" t="n">
        <v>4</v>
      </c>
      <c r="H167" s="11" t="s">
        <v>647</v>
      </c>
      <c r="I167" s="11" t="s">
        <v>648</v>
      </c>
      <c r="J167" s="11" t="n">
        <f aca="false">COUNTIF($H$2:$H$326,A167)</f>
        <v>0</v>
      </c>
      <c r="K167" s="11" t="s">
        <v>63</v>
      </c>
      <c r="L167" s="13" t="s">
        <v>72</v>
      </c>
      <c r="M167" s="11" t="s">
        <v>654</v>
      </c>
    </row>
    <row r="168" customFormat="false" ht="15" hidden="false" customHeight="true" outlineLevel="0" collapsed="false">
      <c r="A168" s="11" t="s">
        <v>655</v>
      </c>
      <c r="B168" s="12"/>
      <c r="C168" s="11" t="s">
        <v>52</v>
      </c>
      <c r="D168" s="11" t="s">
        <v>656</v>
      </c>
      <c r="E168" s="11" t="s">
        <v>657</v>
      </c>
      <c r="F168" s="11" t="s">
        <v>619</v>
      </c>
      <c r="G168" s="11" t="n">
        <v>3</v>
      </c>
      <c r="H168" s="11" t="s">
        <v>633</v>
      </c>
      <c r="I168" s="11" t="s">
        <v>296</v>
      </c>
      <c r="J168" s="11" t="n">
        <f aca="false">COUNTIF($H$2:$H$326,A168)</f>
        <v>0</v>
      </c>
      <c r="K168" s="11" t="s">
        <v>63</v>
      </c>
      <c r="L168" s="14"/>
      <c r="M168" s="11" t="s">
        <v>658</v>
      </c>
    </row>
    <row r="169" customFormat="false" ht="15" hidden="false" customHeight="true" outlineLevel="0" collapsed="false">
      <c r="A169" s="11" t="s">
        <v>659</v>
      </c>
      <c r="B169" s="12"/>
      <c r="C169" s="11" t="s">
        <v>52</v>
      </c>
      <c r="D169" s="11" t="s">
        <v>660</v>
      </c>
      <c r="E169" s="11" t="s">
        <v>657</v>
      </c>
      <c r="F169" s="11" t="s">
        <v>619</v>
      </c>
      <c r="G169" s="11" t="n">
        <v>3</v>
      </c>
      <c r="H169" s="11" t="s">
        <v>633</v>
      </c>
      <c r="I169" s="11" t="s">
        <v>296</v>
      </c>
      <c r="J169" s="11" t="n">
        <f aca="false">COUNTIF($H$2:$H$326,A169)</f>
        <v>0</v>
      </c>
      <c r="K169" s="11" t="s">
        <v>63</v>
      </c>
      <c r="L169" s="14"/>
      <c r="M169" s="11" t="s">
        <v>661</v>
      </c>
    </row>
    <row r="170" customFormat="false" ht="23.25" hidden="false" customHeight="true" outlineLevel="0" collapsed="false">
      <c r="A170" s="11" t="s">
        <v>437</v>
      </c>
      <c r="B170" s="12"/>
      <c r="C170" s="11" t="s">
        <v>52</v>
      </c>
      <c r="D170" s="11" t="s">
        <v>180</v>
      </c>
      <c r="E170" s="11" t="s">
        <v>438</v>
      </c>
      <c r="F170" s="11" t="s">
        <v>662</v>
      </c>
      <c r="G170" s="11" t="n">
        <v>1</v>
      </c>
      <c r="H170" s="11"/>
      <c r="I170" s="11"/>
      <c r="J170" s="11" t="n">
        <f aca="false">COUNTIF($H$2:$H$326,A170)</f>
        <v>6</v>
      </c>
      <c r="K170" s="11" t="s">
        <v>348</v>
      </c>
      <c r="L170" s="13" t="s">
        <v>440</v>
      </c>
      <c r="M170" s="11" t="s">
        <v>663</v>
      </c>
    </row>
    <row r="171" customFormat="false" ht="15" hidden="false" customHeight="true" outlineLevel="0" collapsed="false">
      <c r="A171" s="11" t="s">
        <v>664</v>
      </c>
      <c r="B171" s="12"/>
      <c r="C171" s="11" t="s">
        <v>52</v>
      </c>
      <c r="D171" s="11" t="s">
        <v>665</v>
      </c>
      <c r="E171" s="11" t="s">
        <v>100</v>
      </c>
      <c r="F171" s="11" t="s">
        <v>662</v>
      </c>
      <c r="G171" s="11" t="n">
        <v>2</v>
      </c>
      <c r="H171" s="11" t="s">
        <v>437</v>
      </c>
      <c r="I171" s="11" t="s">
        <v>180</v>
      </c>
      <c r="J171" s="11" t="n">
        <f aca="false">COUNTIF($H$2:$H$326,A171)</f>
        <v>4</v>
      </c>
      <c r="K171" s="11" t="s">
        <v>100</v>
      </c>
      <c r="L171" s="14"/>
      <c r="M171" s="11" t="s">
        <v>666</v>
      </c>
    </row>
    <row r="172" customFormat="false" ht="15" hidden="false" customHeight="true" outlineLevel="0" collapsed="false">
      <c r="A172" s="11" t="s">
        <v>667</v>
      </c>
      <c r="B172" s="12"/>
      <c r="C172" s="11" t="s">
        <v>52</v>
      </c>
      <c r="D172" s="11" t="s">
        <v>668</v>
      </c>
      <c r="E172" s="11" t="s">
        <v>669</v>
      </c>
      <c r="F172" s="11" t="s">
        <v>662</v>
      </c>
      <c r="G172" s="11" t="n">
        <v>3</v>
      </c>
      <c r="H172" s="11" t="s">
        <v>664</v>
      </c>
      <c r="I172" s="11" t="s">
        <v>665</v>
      </c>
      <c r="J172" s="11" t="n">
        <f aca="false">COUNTIF($H$2:$H$326,A172)</f>
        <v>0</v>
      </c>
      <c r="K172" s="11" t="s">
        <v>63</v>
      </c>
      <c r="L172" s="14"/>
      <c r="M172" s="11" t="s">
        <v>670</v>
      </c>
    </row>
    <row r="173" customFormat="false" ht="15" hidden="false" customHeight="true" outlineLevel="0" collapsed="false">
      <c r="A173" s="11" t="s">
        <v>671</v>
      </c>
      <c r="B173" s="12"/>
      <c r="C173" s="11" t="s">
        <v>52</v>
      </c>
      <c r="D173" s="11" t="s">
        <v>672</v>
      </c>
      <c r="E173" s="11" t="s">
        <v>669</v>
      </c>
      <c r="F173" s="11" t="s">
        <v>662</v>
      </c>
      <c r="G173" s="11" t="n">
        <v>3</v>
      </c>
      <c r="H173" s="11" t="s">
        <v>664</v>
      </c>
      <c r="I173" s="11" t="s">
        <v>665</v>
      </c>
      <c r="J173" s="11" t="n">
        <f aca="false">COUNTIF($H$2:$H$326,A173)</f>
        <v>0</v>
      </c>
      <c r="K173" s="11" t="s">
        <v>63</v>
      </c>
      <c r="L173" s="14"/>
      <c r="M173" s="11" t="s">
        <v>673</v>
      </c>
    </row>
    <row r="174" customFormat="false" ht="15" hidden="false" customHeight="true" outlineLevel="0" collapsed="false">
      <c r="A174" s="11" t="s">
        <v>674</v>
      </c>
      <c r="B174" s="12"/>
      <c r="C174" s="11" t="s">
        <v>52</v>
      </c>
      <c r="D174" s="11" t="s">
        <v>675</v>
      </c>
      <c r="E174" s="11" t="s">
        <v>669</v>
      </c>
      <c r="F174" s="11" t="s">
        <v>662</v>
      </c>
      <c r="G174" s="11" t="n">
        <v>3</v>
      </c>
      <c r="H174" s="11" t="s">
        <v>664</v>
      </c>
      <c r="I174" s="11" t="s">
        <v>665</v>
      </c>
      <c r="J174" s="11" t="n">
        <f aca="false">COUNTIF($H$2:$H$326,A174)</f>
        <v>0</v>
      </c>
      <c r="K174" s="11" t="s">
        <v>63</v>
      </c>
      <c r="L174" s="14"/>
      <c r="M174" s="11" t="s">
        <v>676</v>
      </c>
    </row>
    <row r="175" customFormat="false" ht="15" hidden="false" customHeight="true" outlineLevel="0" collapsed="false">
      <c r="A175" s="11" t="s">
        <v>677</v>
      </c>
      <c r="B175" s="12"/>
      <c r="C175" s="11" t="s">
        <v>52</v>
      </c>
      <c r="D175" s="11" t="s">
        <v>678</v>
      </c>
      <c r="E175" s="11" t="s">
        <v>669</v>
      </c>
      <c r="F175" s="11" t="s">
        <v>662</v>
      </c>
      <c r="G175" s="11" t="n">
        <v>3</v>
      </c>
      <c r="H175" s="11" t="s">
        <v>664</v>
      </c>
      <c r="I175" s="11" t="s">
        <v>665</v>
      </c>
      <c r="J175" s="11" t="n">
        <f aca="false">COUNTIF($H$2:$H$326,A175)</f>
        <v>0</v>
      </c>
      <c r="K175" s="11" t="s">
        <v>63</v>
      </c>
      <c r="L175" s="13" t="s">
        <v>72</v>
      </c>
      <c r="M175" s="11" t="s">
        <v>679</v>
      </c>
    </row>
    <row r="176" customFormat="false" ht="15" hidden="false" customHeight="true" outlineLevel="0" collapsed="false">
      <c r="A176" s="11" t="s">
        <v>680</v>
      </c>
      <c r="B176" s="12"/>
      <c r="C176" s="11" t="s">
        <v>52</v>
      </c>
      <c r="D176" s="11" t="s">
        <v>681</v>
      </c>
      <c r="E176" s="11" t="s">
        <v>682</v>
      </c>
      <c r="F176" s="11" t="s">
        <v>662</v>
      </c>
      <c r="G176" s="11" t="n">
        <v>2</v>
      </c>
      <c r="H176" s="11" t="s">
        <v>437</v>
      </c>
      <c r="I176" s="11" t="s">
        <v>180</v>
      </c>
      <c r="J176" s="11" t="n">
        <f aca="false">COUNTIF($H$2:$H$326,A176)</f>
        <v>4</v>
      </c>
      <c r="K176" s="11" t="s">
        <v>55</v>
      </c>
      <c r="L176" s="14"/>
      <c r="M176" s="11" t="s">
        <v>683</v>
      </c>
    </row>
    <row r="177" customFormat="false" ht="15" hidden="false" customHeight="true" outlineLevel="0" collapsed="false">
      <c r="A177" s="11" t="s">
        <v>684</v>
      </c>
      <c r="B177" s="12"/>
      <c r="C177" s="11" t="s">
        <v>52</v>
      </c>
      <c r="D177" s="11" t="s">
        <v>685</v>
      </c>
      <c r="E177" s="11" t="s">
        <v>100</v>
      </c>
      <c r="F177" s="11" t="s">
        <v>662</v>
      </c>
      <c r="G177" s="11" t="n">
        <v>3</v>
      </c>
      <c r="H177" s="11" t="s">
        <v>680</v>
      </c>
      <c r="I177" s="11" t="s">
        <v>681</v>
      </c>
      <c r="J177" s="11" t="n">
        <f aca="false">COUNTIF($H$2:$H$326,A177)</f>
        <v>5</v>
      </c>
      <c r="K177" s="11" t="s">
        <v>100</v>
      </c>
      <c r="L177" s="14"/>
      <c r="M177" s="11" t="s">
        <v>686</v>
      </c>
    </row>
    <row r="178" customFormat="false" ht="15" hidden="false" customHeight="true" outlineLevel="0" collapsed="false">
      <c r="A178" s="11" t="s">
        <v>687</v>
      </c>
      <c r="B178" s="12"/>
      <c r="C178" s="11" t="s">
        <v>52</v>
      </c>
      <c r="D178" s="11" t="s">
        <v>688</v>
      </c>
      <c r="E178" s="11" t="s">
        <v>689</v>
      </c>
      <c r="F178" s="11" t="s">
        <v>662</v>
      </c>
      <c r="G178" s="11" t="n">
        <v>4</v>
      </c>
      <c r="H178" s="11" t="s">
        <v>684</v>
      </c>
      <c r="I178" s="11" t="s">
        <v>685</v>
      </c>
      <c r="J178" s="11" t="n">
        <f aca="false">COUNTIF($H$2:$H$326,A178)</f>
        <v>0</v>
      </c>
      <c r="K178" s="11" t="s">
        <v>63</v>
      </c>
      <c r="L178" s="13" t="s">
        <v>72</v>
      </c>
      <c r="M178" s="11" t="s">
        <v>690</v>
      </c>
    </row>
    <row r="179" customFormat="false" ht="15" hidden="false" customHeight="true" outlineLevel="0" collapsed="false">
      <c r="A179" s="11" t="s">
        <v>691</v>
      </c>
      <c r="B179" s="12"/>
      <c r="C179" s="11" t="s">
        <v>52</v>
      </c>
      <c r="D179" s="11" t="s">
        <v>692</v>
      </c>
      <c r="E179" s="11" t="s">
        <v>693</v>
      </c>
      <c r="F179" s="11" t="s">
        <v>662</v>
      </c>
      <c r="G179" s="11" t="n">
        <v>4</v>
      </c>
      <c r="H179" s="11" t="s">
        <v>684</v>
      </c>
      <c r="I179" s="11" t="s">
        <v>685</v>
      </c>
      <c r="J179" s="11" t="n">
        <f aca="false">COUNTIF($H$2:$H$326,A179)</f>
        <v>0</v>
      </c>
      <c r="K179" s="11" t="s">
        <v>63</v>
      </c>
      <c r="L179" s="14"/>
      <c r="M179" s="11" t="s">
        <v>694</v>
      </c>
    </row>
    <row r="180" customFormat="false" ht="15" hidden="false" customHeight="true" outlineLevel="0" collapsed="false">
      <c r="A180" s="11" t="s">
        <v>695</v>
      </c>
      <c r="B180" s="12"/>
      <c r="C180" s="11" t="s">
        <v>52</v>
      </c>
      <c r="D180" s="11" t="s">
        <v>696</v>
      </c>
      <c r="E180" s="11" t="s">
        <v>693</v>
      </c>
      <c r="F180" s="11" t="s">
        <v>662</v>
      </c>
      <c r="G180" s="11" t="n">
        <v>4</v>
      </c>
      <c r="H180" s="11" t="s">
        <v>684</v>
      </c>
      <c r="I180" s="11" t="s">
        <v>685</v>
      </c>
      <c r="J180" s="11" t="n">
        <f aca="false">COUNTIF($H$2:$H$326,A180)</f>
        <v>0</v>
      </c>
      <c r="K180" s="11" t="s">
        <v>63</v>
      </c>
      <c r="L180" s="13" t="s">
        <v>72</v>
      </c>
      <c r="M180" s="11" t="s">
        <v>697</v>
      </c>
    </row>
    <row r="181" customFormat="false" ht="15" hidden="false" customHeight="true" outlineLevel="0" collapsed="false">
      <c r="A181" s="11" t="s">
        <v>698</v>
      </c>
      <c r="B181" s="12"/>
      <c r="C181" s="11" t="s">
        <v>52</v>
      </c>
      <c r="D181" s="11" t="s">
        <v>380</v>
      </c>
      <c r="E181" s="11" t="s">
        <v>693</v>
      </c>
      <c r="F181" s="11" t="s">
        <v>662</v>
      </c>
      <c r="G181" s="11" t="n">
        <v>4</v>
      </c>
      <c r="H181" s="11" t="s">
        <v>684</v>
      </c>
      <c r="I181" s="11" t="s">
        <v>685</v>
      </c>
      <c r="J181" s="11" t="n">
        <f aca="false">COUNTIF($H$2:$H$326,A181)</f>
        <v>0</v>
      </c>
      <c r="K181" s="11" t="s">
        <v>63</v>
      </c>
      <c r="L181" s="13" t="s">
        <v>105</v>
      </c>
      <c r="M181" s="11" t="s">
        <v>699</v>
      </c>
    </row>
    <row r="182" customFormat="false" ht="15" hidden="false" customHeight="true" outlineLevel="0" collapsed="false">
      <c r="A182" s="11" t="s">
        <v>700</v>
      </c>
      <c r="B182" s="12"/>
      <c r="C182" s="11" t="s">
        <v>52</v>
      </c>
      <c r="D182" s="11" t="s">
        <v>701</v>
      </c>
      <c r="E182" s="11" t="s">
        <v>693</v>
      </c>
      <c r="F182" s="11" t="s">
        <v>662</v>
      </c>
      <c r="G182" s="11" t="n">
        <v>4</v>
      </c>
      <c r="H182" s="11" t="s">
        <v>684</v>
      </c>
      <c r="I182" s="11" t="s">
        <v>685</v>
      </c>
      <c r="J182" s="11" t="n">
        <f aca="false">COUNTIF($H$2:$H$326,A182)</f>
        <v>0</v>
      </c>
      <c r="K182" s="11" t="s">
        <v>63</v>
      </c>
      <c r="L182" s="14"/>
      <c r="M182" s="11" t="s">
        <v>702</v>
      </c>
    </row>
    <row r="183" customFormat="false" ht="15" hidden="false" customHeight="true" outlineLevel="0" collapsed="false">
      <c r="A183" s="11" t="s">
        <v>703</v>
      </c>
      <c r="B183" s="12"/>
      <c r="C183" s="11" t="s">
        <v>52</v>
      </c>
      <c r="D183" s="11" t="s">
        <v>704</v>
      </c>
      <c r="E183" s="11" t="s">
        <v>100</v>
      </c>
      <c r="F183" s="11" t="s">
        <v>662</v>
      </c>
      <c r="G183" s="11" t="n">
        <v>3</v>
      </c>
      <c r="H183" s="11" t="s">
        <v>680</v>
      </c>
      <c r="I183" s="11" t="s">
        <v>681</v>
      </c>
      <c r="J183" s="11" t="n">
        <f aca="false">COUNTIF($H$2:$H$326,A183)</f>
        <v>5</v>
      </c>
      <c r="K183" s="11" t="s">
        <v>100</v>
      </c>
      <c r="L183" s="14"/>
      <c r="M183" s="11" t="s">
        <v>705</v>
      </c>
    </row>
    <row r="184" customFormat="false" ht="15" hidden="false" customHeight="true" outlineLevel="0" collapsed="false">
      <c r="A184" s="11" t="s">
        <v>706</v>
      </c>
      <c r="B184" s="12"/>
      <c r="C184" s="11" t="s">
        <v>52</v>
      </c>
      <c r="D184" s="11" t="s">
        <v>707</v>
      </c>
      <c r="E184" s="11" t="s">
        <v>693</v>
      </c>
      <c r="F184" s="11" t="s">
        <v>662</v>
      </c>
      <c r="G184" s="11" t="n">
        <v>4</v>
      </c>
      <c r="H184" s="11" t="s">
        <v>703</v>
      </c>
      <c r="I184" s="11" t="s">
        <v>704</v>
      </c>
      <c r="J184" s="11" t="n">
        <f aca="false">COUNTIF($H$2:$H$326,A184)</f>
        <v>0</v>
      </c>
      <c r="K184" s="11" t="s">
        <v>63</v>
      </c>
      <c r="L184" s="14"/>
      <c r="M184" s="11" t="s">
        <v>708</v>
      </c>
    </row>
    <row r="185" customFormat="false" ht="15" hidden="false" customHeight="true" outlineLevel="0" collapsed="false">
      <c r="A185" s="11" t="s">
        <v>709</v>
      </c>
      <c r="B185" s="12"/>
      <c r="C185" s="11" t="s">
        <v>52</v>
      </c>
      <c r="D185" s="11" t="s">
        <v>710</v>
      </c>
      <c r="E185" s="11" t="s">
        <v>693</v>
      </c>
      <c r="F185" s="11" t="s">
        <v>662</v>
      </c>
      <c r="G185" s="11" t="n">
        <v>4</v>
      </c>
      <c r="H185" s="11" t="s">
        <v>703</v>
      </c>
      <c r="I185" s="11" t="s">
        <v>704</v>
      </c>
      <c r="J185" s="11" t="n">
        <f aca="false">COUNTIF($H$2:$H$326,A185)</f>
        <v>0</v>
      </c>
      <c r="K185" s="11" t="s">
        <v>63</v>
      </c>
      <c r="L185" s="14"/>
      <c r="M185" s="11" t="s">
        <v>711</v>
      </c>
    </row>
    <row r="186" customFormat="false" ht="15" hidden="false" customHeight="true" outlineLevel="0" collapsed="false">
      <c r="A186" s="11" t="s">
        <v>712</v>
      </c>
      <c r="B186" s="12"/>
      <c r="C186" s="11" t="s">
        <v>52</v>
      </c>
      <c r="D186" s="11" t="s">
        <v>713</v>
      </c>
      <c r="E186" s="11" t="s">
        <v>693</v>
      </c>
      <c r="F186" s="11" t="s">
        <v>662</v>
      </c>
      <c r="G186" s="11" t="n">
        <v>4</v>
      </c>
      <c r="H186" s="11" t="s">
        <v>703</v>
      </c>
      <c r="I186" s="11" t="s">
        <v>704</v>
      </c>
      <c r="J186" s="11" t="n">
        <f aca="false">COUNTIF($H$2:$H$326,A186)</f>
        <v>0</v>
      </c>
      <c r="K186" s="11" t="s">
        <v>63</v>
      </c>
      <c r="L186" s="14"/>
      <c r="M186" s="11" t="s">
        <v>714</v>
      </c>
    </row>
    <row r="187" customFormat="false" ht="15" hidden="false" customHeight="true" outlineLevel="0" collapsed="false">
      <c r="A187" s="11" t="s">
        <v>715</v>
      </c>
      <c r="B187" s="12"/>
      <c r="C187" s="11" t="s">
        <v>52</v>
      </c>
      <c r="D187" s="11" t="s">
        <v>716</v>
      </c>
      <c r="E187" s="11" t="s">
        <v>693</v>
      </c>
      <c r="F187" s="11" t="s">
        <v>662</v>
      </c>
      <c r="G187" s="11" t="n">
        <v>4</v>
      </c>
      <c r="H187" s="11" t="s">
        <v>703</v>
      </c>
      <c r="I187" s="11" t="s">
        <v>704</v>
      </c>
      <c r="J187" s="11" t="n">
        <f aca="false">COUNTIF($H$2:$H$326,A187)</f>
        <v>0</v>
      </c>
      <c r="K187" s="11" t="s">
        <v>63</v>
      </c>
      <c r="L187" s="13" t="s">
        <v>72</v>
      </c>
      <c r="M187" s="11" t="s">
        <v>717</v>
      </c>
    </row>
    <row r="188" customFormat="false" ht="15" hidden="false" customHeight="true" outlineLevel="0" collapsed="false">
      <c r="A188" s="11" t="s">
        <v>718</v>
      </c>
      <c r="B188" s="12"/>
      <c r="C188" s="11" t="s">
        <v>52</v>
      </c>
      <c r="D188" s="11" t="s">
        <v>719</v>
      </c>
      <c r="E188" s="11" t="s">
        <v>689</v>
      </c>
      <c r="F188" s="11" t="s">
        <v>662</v>
      </c>
      <c r="G188" s="11" t="n">
        <v>4</v>
      </c>
      <c r="H188" s="11" t="s">
        <v>703</v>
      </c>
      <c r="I188" s="11" t="s">
        <v>704</v>
      </c>
      <c r="J188" s="11" t="n">
        <f aca="false">COUNTIF($H$2:$H$326,A188)</f>
        <v>0</v>
      </c>
      <c r="K188" s="11" t="s">
        <v>63</v>
      </c>
      <c r="L188" s="13" t="s">
        <v>72</v>
      </c>
      <c r="M188" s="11" t="s">
        <v>720</v>
      </c>
    </row>
    <row r="189" customFormat="false" ht="15" hidden="false" customHeight="true" outlineLevel="0" collapsed="false">
      <c r="A189" s="11" t="s">
        <v>721</v>
      </c>
      <c r="B189" s="12"/>
      <c r="C189" s="11" t="s">
        <v>52</v>
      </c>
      <c r="D189" s="11" t="s">
        <v>722</v>
      </c>
      <c r="E189" s="11" t="s">
        <v>100</v>
      </c>
      <c r="F189" s="11" t="s">
        <v>662</v>
      </c>
      <c r="G189" s="11" t="n">
        <v>3</v>
      </c>
      <c r="H189" s="11" t="s">
        <v>680</v>
      </c>
      <c r="I189" s="11" t="s">
        <v>681</v>
      </c>
      <c r="J189" s="11" t="n">
        <f aca="false">COUNTIF($H$2:$H$326,A189)</f>
        <v>5</v>
      </c>
      <c r="K189" s="11" t="s">
        <v>100</v>
      </c>
      <c r="L189" s="13" t="s">
        <v>72</v>
      </c>
      <c r="M189" s="11" t="s">
        <v>723</v>
      </c>
    </row>
    <row r="190" customFormat="false" ht="15" hidden="false" customHeight="true" outlineLevel="0" collapsed="false">
      <c r="A190" s="11" t="s">
        <v>724</v>
      </c>
      <c r="B190" s="12"/>
      <c r="C190" s="11" t="s">
        <v>52</v>
      </c>
      <c r="D190" s="11" t="s">
        <v>725</v>
      </c>
      <c r="E190" s="11" t="s">
        <v>693</v>
      </c>
      <c r="F190" s="11" t="s">
        <v>662</v>
      </c>
      <c r="G190" s="11" t="n">
        <v>4</v>
      </c>
      <c r="H190" s="11" t="s">
        <v>721</v>
      </c>
      <c r="I190" s="11" t="s">
        <v>722</v>
      </c>
      <c r="J190" s="11" t="n">
        <f aca="false">COUNTIF($H$2:$H$326,A190)</f>
        <v>0</v>
      </c>
      <c r="K190" s="11" t="s">
        <v>63</v>
      </c>
      <c r="L190" s="13" t="s">
        <v>72</v>
      </c>
      <c r="M190" s="11" t="s">
        <v>726</v>
      </c>
    </row>
    <row r="191" customFormat="false" ht="15" hidden="false" customHeight="true" outlineLevel="0" collapsed="false">
      <c r="A191" s="11" t="s">
        <v>727</v>
      </c>
      <c r="B191" s="12"/>
      <c r="C191" s="11" t="s">
        <v>52</v>
      </c>
      <c r="D191" s="11" t="s">
        <v>728</v>
      </c>
      <c r="E191" s="11" t="s">
        <v>693</v>
      </c>
      <c r="F191" s="11" t="s">
        <v>662</v>
      </c>
      <c r="G191" s="11" t="n">
        <v>4</v>
      </c>
      <c r="H191" s="11" t="s">
        <v>721</v>
      </c>
      <c r="I191" s="11" t="s">
        <v>722</v>
      </c>
      <c r="J191" s="11" t="n">
        <f aca="false">COUNTIF($H$2:$H$326,A191)</f>
        <v>0</v>
      </c>
      <c r="K191" s="11" t="s">
        <v>63</v>
      </c>
      <c r="L191" s="13" t="s">
        <v>72</v>
      </c>
      <c r="M191" s="11" t="s">
        <v>729</v>
      </c>
    </row>
    <row r="192" customFormat="false" ht="15" hidden="false" customHeight="true" outlineLevel="0" collapsed="false">
      <c r="A192" s="11" t="s">
        <v>730</v>
      </c>
      <c r="B192" s="12"/>
      <c r="C192" s="11" t="s">
        <v>52</v>
      </c>
      <c r="D192" s="11" t="s">
        <v>731</v>
      </c>
      <c r="E192" s="11" t="s">
        <v>693</v>
      </c>
      <c r="F192" s="11" t="s">
        <v>662</v>
      </c>
      <c r="G192" s="11" t="n">
        <v>4</v>
      </c>
      <c r="H192" s="11" t="s">
        <v>721</v>
      </c>
      <c r="I192" s="11" t="s">
        <v>722</v>
      </c>
      <c r="J192" s="11" t="n">
        <f aca="false">COUNTIF($H$2:$H$326,A192)</f>
        <v>0</v>
      </c>
      <c r="K192" s="11" t="s">
        <v>63</v>
      </c>
      <c r="L192" s="13" t="s">
        <v>72</v>
      </c>
      <c r="M192" s="11" t="s">
        <v>732</v>
      </c>
    </row>
    <row r="193" customFormat="false" ht="15" hidden="false" customHeight="true" outlineLevel="0" collapsed="false">
      <c r="A193" s="11" t="s">
        <v>733</v>
      </c>
      <c r="B193" s="12"/>
      <c r="C193" s="11" t="s">
        <v>52</v>
      </c>
      <c r="D193" s="11" t="s">
        <v>734</v>
      </c>
      <c r="E193" s="11" t="s">
        <v>693</v>
      </c>
      <c r="F193" s="11" t="s">
        <v>662</v>
      </c>
      <c r="G193" s="11" t="n">
        <v>4</v>
      </c>
      <c r="H193" s="11" t="s">
        <v>721</v>
      </c>
      <c r="I193" s="11" t="s">
        <v>722</v>
      </c>
      <c r="J193" s="11" t="n">
        <f aca="false">COUNTIF($H$2:$H$326,A193)</f>
        <v>0</v>
      </c>
      <c r="K193" s="11" t="s">
        <v>63</v>
      </c>
      <c r="L193" s="13" t="s">
        <v>161</v>
      </c>
      <c r="M193" s="11" t="s">
        <v>735</v>
      </c>
    </row>
    <row r="194" customFormat="false" ht="15" hidden="false" customHeight="true" outlineLevel="0" collapsed="false">
      <c r="A194" s="11" t="s">
        <v>736</v>
      </c>
      <c r="B194" s="12"/>
      <c r="C194" s="11" t="s">
        <v>52</v>
      </c>
      <c r="D194" s="11" t="s">
        <v>737</v>
      </c>
      <c r="E194" s="11" t="s">
        <v>693</v>
      </c>
      <c r="F194" s="11" t="s">
        <v>662</v>
      </c>
      <c r="G194" s="11" t="n">
        <v>4</v>
      </c>
      <c r="H194" s="11" t="s">
        <v>721</v>
      </c>
      <c r="I194" s="11" t="s">
        <v>722</v>
      </c>
      <c r="J194" s="11" t="n">
        <f aca="false">COUNTIF($H$2:$H$326,A194)</f>
        <v>0</v>
      </c>
      <c r="K194" s="11" t="s">
        <v>63</v>
      </c>
      <c r="L194" s="14"/>
      <c r="M194" s="11" t="s">
        <v>738</v>
      </c>
    </row>
    <row r="195" customFormat="false" ht="15" hidden="false" customHeight="true" outlineLevel="0" collapsed="false">
      <c r="A195" s="11" t="s">
        <v>739</v>
      </c>
      <c r="B195" s="12"/>
      <c r="C195" s="11" t="s">
        <v>52</v>
      </c>
      <c r="D195" s="11" t="s">
        <v>740</v>
      </c>
      <c r="E195" s="11" t="s">
        <v>100</v>
      </c>
      <c r="F195" s="11" t="s">
        <v>662</v>
      </c>
      <c r="G195" s="11" t="n">
        <v>3</v>
      </c>
      <c r="H195" s="11" t="s">
        <v>680</v>
      </c>
      <c r="I195" s="11" t="s">
        <v>681</v>
      </c>
      <c r="J195" s="11" t="n">
        <f aca="false">COUNTIF($H$2:$H$326,A195)</f>
        <v>1</v>
      </c>
      <c r="K195" s="11" t="s">
        <v>100</v>
      </c>
      <c r="L195" s="13" t="s">
        <v>72</v>
      </c>
      <c r="M195" s="11" t="s">
        <v>741</v>
      </c>
    </row>
    <row r="196" customFormat="false" ht="15" hidden="false" customHeight="true" outlineLevel="0" collapsed="false">
      <c r="A196" s="11" t="s">
        <v>742</v>
      </c>
      <c r="B196" s="12"/>
      <c r="C196" s="11" t="s">
        <v>52</v>
      </c>
      <c r="D196" s="11" t="s">
        <v>743</v>
      </c>
      <c r="E196" s="11" t="s">
        <v>689</v>
      </c>
      <c r="F196" s="11" t="s">
        <v>662</v>
      </c>
      <c r="G196" s="11" t="n">
        <v>4</v>
      </c>
      <c r="H196" s="11" t="s">
        <v>739</v>
      </c>
      <c r="I196" s="11" t="s">
        <v>740</v>
      </c>
      <c r="J196" s="11" t="n">
        <f aca="false">COUNTIF($H$2:$H$326,A196)</f>
        <v>0</v>
      </c>
      <c r="K196" s="11" t="s">
        <v>63</v>
      </c>
      <c r="L196" s="13" t="s">
        <v>72</v>
      </c>
      <c r="M196" s="11" t="s">
        <v>744</v>
      </c>
    </row>
    <row r="197" customFormat="false" ht="15" hidden="false" customHeight="true" outlineLevel="0" collapsed="false">
      <c r="A197" s="11" t="s">
        <v>745</v>
      </c>
      <c r="B197" s="12"/>
      <c r="C197" s="11" t="s">
        <v>52</v>
      </c>
      <c r="D197" s="11" t="s">
        <v>746</v>
      </c>
      <c r="E197" s="11" t="s">
        <v>747</v>
      </c>
      <c r="F197" s="11" t="s">
        <v>662</v>
      </c>
      <c r="G197" s="11" t="n">
        <v>2</v>
      </c>
      <c r="H197" s="11" t="s">
        <v>437</v>
      </c>
      <c r="I197" s="11" t="s">
        <v>180</v>
      </c>
      <c r="J197" s="11" t="n">
        <f aca="false">COUNTIF($H$2:$H$326,A197)</f>
        <v>1</v>
      </c>
      <c r="K197" s="11" t="s">
        <v>100</v>
      </c>
      <c r="L197" s="14"/>
      <c r="M197" s="11" t="s">
        <v>748</v>
      </c>
    </row>
    <row r="198" customFormat="false" ht="15" hidden="false" customHeight="true" outlineLevel="0" collapsed="false">
      <c r="A198" s="11" t="s">
        <v>749</v>
      </c>
      <c r="B198" s="12"/>
      <c r="C198" s="11" t="s">
        <v>52</v>
      </c>
      <c r="D198" s="11" t="s">
        <v>750</v>
      </c>
      <c r="E198" s="11" t="s">
        <v>693</v>
      </c>
      <c r="F198" s="11" t="s">
        <v>662</v>
      </c>
      <c r="G198" s="11" t="n">
        <v>3</v>
      </c>
      <c r="H198" s="11" t="s">
        <v>745</v>
      </c>
      <c r="I198" s="11" t="s">
        <v>746</v>
      </c>
      <c r="J198" s="11" t="n">
        <f aca="false">COUNTIF($H$2:$H$326,A198)</f>
        <v>0</v>
      </c>
      <c r="K198" s="11" t="s">
        <v>63</v>
      </c>
      <c r="L198" s="14"/>
      <c r="M198" s="11" t="s">
        <v>751</v>
      </c>
    </row>
    <row r="199" customFormat="false" ht="23.25" hidden="false" customHeight="true" outlineLevel="0" collapsed="false">
      <c r="A199" s="11" t="s">
        <v>437</v>
      </c>
      <c r="B199" s="12"/>
      <c r="C199" s="11" t="s">
        <v>52</v>
      </c>
      <c r="D199" s="11" t="s">
        <v>180</v>
      </c>
      <c r="E199" s="11" t="s">
        <v>438</v>
      </c>
      <c r="F199" s="11" t="s">
        <v>752</v>
      </c>
      <c r="G199" s="11" t="n">
        <v>1</v>
      </c>
      <c r="H199" s="11"/>
      <c r="I199" s="11"/>
      <c r="J199" s="11" t="n">
        <f aca="false">COUNTIF($H$2:$H$326,A199)</f>
        <v>6</v>
      </c>
      <c r="K199" s="11" t="s">
        <v>348</v>
      </c>
      <c r="L199" s="13" t="s">
        <v>440</v>
      </c>
      <c r="M199" s="11" t="s">
        <v>441</v>
      </c>
    </row>
    <row r="200" customFormat="false" ht="15" hidden="false" customHeight="true" outlineLevel="0" collapsed="false">
      <c r="A200" s="11" t="s">
        <v>753</v>
      </c>
      <c r="B200" s="12"/>
      <c r="C200" s="11" t="s">
        <v>52</v>
      </c>
      <c r="D200" s="11" t="s">
        <v>754</v>
      </c>
      <c r="E200" s="11" t="s">
        <v>755</v>
      </c>
      <c r="F200" s="11" t="s">
        <v>752</v>
      </c>
      <c r="G200" s="11" t="n">
        <v>2</v>
      </c>
      <c r="H200" s="11" t="s">
        <v>437</v>
      </c>
      <c r="I200" s="11" t="s">
        <v>180</v>
      </c>
      <c r="J200" s="11" t="n">
        <f aca="false">COUNTIF($H$2:$H$326,A200)</f>
        <v>3</v>
      </c>
      <c r="K200" s="11" t="s">
        <v>55</v>
      </c>
      <c r="L200" s="14"/>
      <c r="M200" s="11" t="s">
        <v>756</v>
      </c>
    </row>
    <row r="201" customFormat="false" ht="15" hidden="false" customHeight="true" outlineLevel="0" collapsed="false">
      <c r="A201" s="11" t="s">
        <v>757</v>
      </c>
      <c r="B201" s="12"/>
      <c r="C201" s="11" t="s">
        <v>52</v>
      </c>
      <c r="D201" s="11" t="s">
        <v>758</v>
      </c>
      <c r="E201" s="11" t="s">
        <v>759</v>
      </c>
      <c r="F201" s="11" t="s">
        <v>752</v>
      </c>
      <c r="G201" s="11" t="n">
        <v>3</v>
      </c>
      <c r="H201" s="11" t="s">
        <v>753</v>
      </c>
      <c r="I201" s="11" t="s">
        <v>754</v>
      </c>
      <c r="J201" s="11" t="n">
        <f aca="false">COUNTIF($H$2:$H$326,A201)</f>
        <v>0</v>
      </c>
      <c r="K201" s="11" t="s">
        <v>63</v>
      </c>
      <c r="L201" s="13" t="s">
        <v>105</v>
      </c>
      <c r="M201" s="11" t="s">
        <v>760</v>
      </c>
    </row>
    <row r="202" customFormat="false" ht="15" hidden="false" customHeight="true" outlineLevel="0" collapsed="false">
      <c r="A202" s="11" t="s">
        <v>761</v>
      </c>
      <c r="B202" s="12"/>
      <c r="C202" s="11" t="s">
        <v>52</v>
      </c>
      <c r="D202" s="11" t="s">
        <v>762</v>
      </c>
      <c r="E202" s="11" t="s">
        <v>763</v>
      </c>
      <c r="F202" s="11" t="s">
        <v>752</v>
      </c>
      <c r="G202" s="11" t="n">
        <v>3</v>
      </c>
      <c r="H202" s="11" t="s">
        <v>753</v>
      </c>
      <c r="I202" s="11" t="s">
        <v>754</v>
      </c>
      <c r="J202" s="11" t="n">
        <f aca="false">COUNTIF($H$2:$H$326,A202)</f>
        <v>0</v>
      </c>
      <c r="K202" s="11" t="s">
        <v>63</v>
      </c>
      <c r="L202" s="14"/>
      <c r="M202" s="11" t="s">
        <v>764</v>
      </c>
    </row>
    <row r="203" customFormat="false" ht="15" hidden="false" customHeight="true" outlineLevel="0" collapsed="false">
      <c r="A203" s="11" t="s">
        <v>765</v>
      </c>
      <c r="B203" s="12"/>
      <c r="C203" s="11" t="s">
        <v>45</v>
      </c>
      <c r="D203" s="11" t="s">
        <v>46</v>
      </c>
      <c r="E203" s="11" t="s">
        <v>759</v>
      </c>
      <c r="F203" s="11" t="s">
        <v>752</v>
      </c>
      <c r="G203" s="11" t="n">
        <v>3</v>
      </c>
      <c r="H203" s="11" t="s">
        <v>753</v>
      </c>
      <c r="I203" s="11" t="s">
        <v>754</v>
      </c>
      <c r="J203" s="11" t="n">
        <f aca="false">COUNTIF($H$2:$H$326,A203)</f>
        <v>0</v>
      </c>
      <c r="K203" s="11" t="s">
        <v>49</v>
      </c>
      <c r="L203" s="13" t="s">
        <v>50</v>
      </c>
      <c r="M203" s="11" t="s">
        <v>759</v>
      </c>
    </row>
    <row r="204" customFormat="false" ht="15" hidden="false" customHeight="true" outlineLevel="0" collapsed="false">
      <c r="A204" s="11" t="s">
        <v>766</v>
      </c>
      <c r="B204" s="12"/>
      <c r="C204" s="11" t="s">
        <v>52</v>
      </c>
      <c r="D204" s="11" t="s">
        <v>767</v>
      </c>
      <c r="E204" s="11" t="s">
        <v>755</v>
      </c>
      <c r="F204" s="11" t="s">
        <v>752</v>
      </c>
      <c r="G204" s="11" t="n">
        <v>2</v>
      </c>
      <c r="H204" s="11" t="s">
        <v>437</v>
      </c>
      <c r="I204" s="11" t="s">
        <v>180</v>
      </c>
      <c r="J204" s="11" t="n">
        <f aca="false">COUNTIF($H$2:$H$326,A204)</f>
        <v>1</v>
      </c>
      <c r="K204" s="11" t="s">
        <v>55</v>
      </c>
      <c r="L204" s="14"/>
      <c r="M204" s="11" t="s">
        <v>768</v>
      </c>
    </row>
    <row r="205" customFormat="false" ht="15" hidden="false" customHeight="true" outlineLevel="0" collapsed="false">
      <c r="A205" s="11" t="s">
        <v>769</v>
      </c>
      <c r="B205" s="12"/>
      <c r="C205" s="11" t="s">
        <v>52</v>
      </c>
      <c r="D205" s="11" t="s">
        <v>770</v>
      </c>
      <c r="E205" s="11" t="s">
        <v>771</v>
      </c>
      <c r="F205" s="11" t="s">
        <v>752</v>
      </c>
      <c r="G205" s="11" t="n">
        <v>3</v>
      </c>
      <c r="H205" s="11" t="s">
        <v>766</v>
      </c>
      <c r="I205" s="11" t="s">
        <v>767</v>
      </c>
      <c r="J205" s="11" t="n">
        <f aca="false">COUNTIF($H$2:$H$326,A205)</f>
        <v>0</v>
      </c>
      <c r="K205" s="11" t="s">
        <v>63</v>
      </c>
      <c r="L205" s="14"/>
      <c r="M205" s="11" t="s">
        <v>772</v>
      </c>
    </row>
    <row r="206" customFormat="false" ht="15" hidden="false" customHeight="true" outlineLevel="0" collapsed="false">
      <c r="A206" s="11" t="s">
        <v>773</v>
      </c>
      <c r="B206" s="12"/>
      <c r="C206" s="11" t="s">
        <v>52</v>
      </c>
      <c r="D206" s="11" t="s">
        <v>774</v>
      </c>
      <c r="E206" s="11" t="s">
        <v>775</v>
      </c>
      <c r="F206" s="11" t="s">
        <v>776</v>
      </c>
      <c r="G206" s="11" t="n">
        <v>1</v>
      </c>
      <c r="H206" s="11"/>
      <c r="I206" s="11"/>
      <c r="J206" s="11" t="n">
        <f aca="false">COUNTIF($H$2:$H$326,A206)</f>
        <v>6</v>
      </c>
      <c r="K206" s="11" t="s">
        <v>348</v>
      </c>
      <c r="L206" s="14"/>
      <c r="M206" s="11" t="s">
        <v>777</v>
      </c>
    </row>
    <row r="207" customFormat="false" ht="15" hidden="false" customHeight="true" outlineLevel="0" collapsed="false">
      <c r="A207" s="11" t="s">
        <v>778</v>
      </c>
      <c r="B207" s="12"/>
      <c r="C207" s="11" t="s">
        <v>52</v>
      </c>
      <c r="D207" s="11" t="s">
        <v>474</v>
      </c>
      <c r="E207" s="11" t="s">
        <v>779</v>
      </c>
      <c r="F207" s="11" t="s">
        <v>776</v>
      </c>
      <c r="G207" s="11" t="n">
        <v>2</v>
      </c>
      <c r="H207" s="11" t="s">
        <v>773</v>
      </c>
      <c r="I207" s="11" t="s">
        <v>774</v>
      </c>
      <c r="J207" s="11" t="n">
        <f aca="false">COUNTIF($H$2:$H$326,A207)</f>
        <v>4</v>
      </c>
      <c r="K207" s="11" t="s">
        <v>55</v>
      </c>
      <c r="L207" s="13" t="s">
        <v>105</v>
      </c>
      <c r="M207" s="11" t="s">
        <v>780</v>
      </c>
    </row>
    <row r="208" customFormat="false" ht="15" hidden="false" customHeight="true" outlineLevel="0" collapsed="false">
      <c r="A208" s="11" t="s">
        <v>781</v>
      </c>
      <c r="B208" s="12"/>
      <c r="C208" s="11" t="s">
        <v>52</v>
      </c>
      <c r="D208" s="11" t="s">
        <v>640</v>
      </c>
      <c r="E208" s="11" t="s">
        <v>782</v>
      </c>
      <c r="F208" s="11" t="s">
        <v>776</v>
      </c>
      <c r="G208" s="11" t="n">
        <v>3</v>
      </c>
      <c r="H208" s="11" t="s">
        <v>778</v>
      </c>
      <c r="I208" s="11" t="s">
        <v>474</v>
      </c>
      <c r="J208" s="11" t="n">
        <f aca="false">COUNTIF($H$2:$H$326,A208)</f>
        <v>0</v>
      </c>
      <c r="K208" s="11" t="s">
        <v>63</v>
      </c>
      <c r="L208" s="13" t="s">
        <v>105</v>
      </c>
      <c r="M208" s="11" t="s">
        <v>783</v>
      </c>
    </row>
    <row r="209" customFormat="false" ht="23.25" hidden="false" customHeight="true" outlineLevel="0" collapsed="false">
      <c r="A209" s="11" t="s">
        <v>784</v>
      </c>
      <c r="B209" s="12"/>
      <c r="C209" s="11" t="s">
        <v>52</v>
      </c>
      <c r="D209" s="11" t="s">
        <v>785</v>
      </c>
      <c r="E209" s="11" t="s">
        <v>786</v>
      </c>
      <c r="F209" s="11" t="s">
        <v>776</v>
      </c>
      <c r="G209" s="11" t="n">
        <v>3</v>
      </c>
      <c r="H209" s="11" t="s">
        <v>778</v>
      </c>
      <c r="I209" s="11" t="s">
        <v>474</v>
      </c>
      <c r="J209" s="11" t="n">
        <f aca="false">COUNTIF($H$2:$H$326,A209)</f>
        <v>0</v>
      </c>
      <c r="K209" s="11" t="s">
        <v>63</v>
      </c>
      <c r="L209" s="13" t="s">
        <v>787</v>
      </c>
      <c r="M209" s="11" t="s">
        <v>788</v>
      </c>
    </row>
    <row r="210" customFormat="false" ht="15" hidden="false" customHeight="true" outlineLevel="0" collapsed="false">
      <c r="A210" s="11" t="s">
        <v>789</v>
      </c>
      <c r="B210" s="12"/>
      <c r="C210" s="11" t="s">
        <v>52</v>
      </c>
      <c r="D210" s="11" t="s">
        <v>790</v>
      </c>
      <c r="E210" s="11" t="s">
        <v>791</v>
      </c>
      <c r="F210" s="11" t="s">
        <v>776</v>
      </c>
      <c r="G210" s="11" t="n">
        <v>3</v>
      </c>
      <c r="H210" s="11" t="s">
        <v>778</v>
      </c>
      <c r="I210" s="11" t="s">
        <v>474</v>
      </c>
      <c r="J210" s="11" t="n">
        <f aca="false">COUNTIF($H$2:$H$326,A210)</f>
        <v>0</v>
      </c>
      <c r="K210" s="11" t="s">
        <v>63</v>
      </c>
      <c r="L210" s="14"/>
      <c r="M210" s="11" t="s">
        <v>792</v>
      </c>
    </row>
    <row r="211" customFormat="false" ht="23.25" hidden="false" customHeight="true" outlineLevel="0" collapsed="false">
      <c r="A211" s="11" t="s">
        <v>793</v>
      </c>
      <c r="B211" s="12"/>
      <c r="C211" s="11" t="s">
        <v>52</v>
      </c>
      <c r="D211" s="11" t="s">
        <v>785</v>
      </c>
      <c r="E211" s="11" t="s">
        <v>786</v>
      </c>
      <c r="F211" s="11" t="s">
        <v>776</v>
      </c>
      <c r="G211" s="11" t="n">
        <v>3</v>
      </c>
      <c r="H211" s="11" t="s">
        <v>778</v>
      </c>
      <c r="I211" s="11" t="s">
        <v>474</v>
      </c>
      <c r="J211" s="11" t="n">
        <f aca="false">COUNTIF($H$2:$H$326,A211)</f>
        <v>0</v>
      </c>
      <c r="K211" s="11" t="s">
        <v>63</v>
      </c>
      <c r="L211" s="13" t="s">
        <v>787</v>
      </c>
      <c r="M211" s="11" t="s">
        <v>788</v>
      </c>
    </row>
    <row r="212" customFormat="false" ht="15" hidden="false" customHeight="true" outlineLevel="0" collapsed="false">
      <c r="A212" s="11" t="s">
        <v>794</v>
      </c>
      <c r="B212" s="12"/>
      <c r="C212" s="11" t="s">
        <v>52</v>
      </c>
      <c r="D212" s="11" t="s">
        <v>795</v>
      </c>
      <c r="E212" s="11" t="s">
        <v>55</v>
      </c>
      <c r="F212" s="11" t="s">
        <v>776</v>
      </c>
      <c r="G212" s="11" t="n">
        <v>2</v>
      </c>
      <c r="H212" s="11" t="s">
        <v>773</v>
      </c>
      <c r="I212" s="11" t="s">
        <v>774</v>
      </c>
      <c r="J212" s="11" t="n">
        <f aca="false">COUNTIF($H$2:$H$326,A212)</f>
        <v>0</v>
      </c>
      <c r="K212" s="11" t="s">
        <v>63</v>
      </c>
      <c r="L212" s="14"/>
      <c r="M212" s="11" t="s">
        <v>796</v>
      </c>
    </row>
    <row r="213" customFormat="false" ht="15" hidden="false" customHeight="true" outlineLevel="0" collapsed="false">
      <c r="A213" s="11" t="s">
        <v>797</v>
      </c>
      <c r="B213" s="12"/>
      <c r="C213" s="11" t="s">
        <v>52</v>
      </c>
      <c r="D213" s="11" t="s">
        <v>798</v>
      </c>
      <c r="E213" s="11" t="s">
        <v>571</v>
      </c>
      <c r="F213" s="11" t="s">
        <v>776</v>
      </c>
      <c r="G213" s="11" t="n">
        <v>2</v>
      </c>
      <c r="H213" s="11" t="s">
        <v>773</v>
      </c>
      <c r="I213" s="11" t="s">
        <v>774</v>
      </c>
      <c r="J213" s="11" t="n">
        <f aca="false">COUNTIF($H$2:$H$326,A213)</f>
        <v>0</v>
      </c>
      <c r="K213" s="11" t="s">
        <v>63</v>
      </c>
      <c r="L213" s="14"/>
      <c r="M213" s="11" t="s">
        <v>799</v>
      </c>
    </row>
    <row r="214" customFormat="false" ht="15" hidden="false" customHeight="true" outlineLevel="0" collapsed="false">
      <c r="A214" s="11" t="s">
        <v>800</v>
      </c>
      <c r="B214" s="12"/>
      <c r="C214" s="11" t="s">
        <v>52</v>
      </c>
      <c r="D214" s="11" t="s">
        <v>801</v>
      </c>
      <c r="E214" s="11" t="s">
        <v>802</v>
      </c>
      <c r="F214" s="11" t="s">
        <v>776</v>
      </c>
      <c r="G214" s="11" t="n">
        <v>2</v>
      </c>
      <c r="H214" s="11" t="s">
        <v>773</v>
      </c>
      <c r="I214" s="11" t="s">
        <v>774</v>
      </c>
      <c r="J214" s="11" t="n">
        <f aca="false">COUNTIF($H$2:$H$326,A214)</f>
        <v>2</v>
      </c>
      <c r="K214" s="11" t="s">
        <v>55</v>
      </c>
      <c r="L214" s="14"/>
      <c r="M214" s="11" t="s">
        <v>803</v>
      </c>
    </row>
    <row r="215" customFormat="false" ht="15" hidden="false" customHeight="true" outlineLevel="0" collapsed="false">
      <c r="A215" s="11" t="s">
        <v>804</v>
      </c>
      <c r="B215" s="12"/>
      <c r="C215" s="11" t="s">
        <v>52</v>
      </c>
      <c r="D215" s="11" t="s">
        <v>805</v>
      </c>
      <c r="E215" s="11" t="s">
        <v>806</v>
      </c>
      <c r="F215" s="11" t="s">
        <v>776</v>
      </c>
      <c r="G215" s="11" t="n">
        <v>3</v>
      </c>
      <c r="H215" s="11" t="s">
        <v>800</v>
      </c>
      <c r="I215" s="11" t="s">
        <v>801</v>
      </c>
      <c r="J215" s="11" t="n">
        <f aca="false">COUNTIF($H$2:$H$326,A215)</f>
        <v>0</v>
      </c>
      <c r="K215" s="11" t="s">
        <v>63</v>
      </c>
      <c r="L215" s="14"/>
      <c r="M215" s="11" t="s">
        <v>807</v>
      </c>
    </row>
    <row r="216" customFormat="false" ht="15" hidden="false" customHeight="true" outlineLevel="0" collapsed="false">
      <c r="A216" s="11" t="s">
        <v>808</v>
      </c>
      <c r="B216" s="12"/>
      <c r="C216" s="11" t="s">
        <v>52</v>
      </c>
      <c r="D216" s="11" t="s">
        <v>809</v>
      </c>
      <c r="E216" s="11" t="s">
        <v>806</v>
      </c>
      <c r="F216" s="11" t="s">
        <v>776</v>
      </c>
      <c r="G216" s="11" t="n">
        <v>3</v>
      </c>
      <c r="H216" s="11" t="s">
        <v>800</v>
      </c>
      <c r="I216" s="11" t="s">
        <v>801</v>
      </c>
      <c r="J216" s="11" t="n">
        <f aca="false">COUNTIF($H$2:$H$326,A216)</f>
        <v>0</v>
      </c>
      <c r="K216" s="11" t="s">
        <v>63</v>
      </c>
      <c r="L216" s="14"/>
      <c r="M216" s="11" t="s">
        <v>810</v>
      </c>
    </row>
    <row r="217" customFormat="false" ht="15" hidden="false" customHeight="true" outlineLevel="0" collapsed="false">
      <c r="A217" s="11" t="s">
        <v>811</v>
      </c>
      <c r="B217" s="12"/>
      <c r="C217" s="11" t="s">
        <v>52</v>
      </c>
      <c r="D217" s="11" t="s">
        <v>812</v>
      </c>
      <c r="E217" s="11" t="s">
        <v>802</v>
      </c>
      <c r="F217" s="11" t="s">
        <v>776</v>
      </c>
      <c r="G217" s="11" t="n">
        <v>2</v>
      </c>
      <c r="H217" s="11" t="s">
        <v>773</v>
      </c>
      <c r="I217" s="11" t="s">
        <v>774</v>
      </c>
      <c r="J217" s="11" t="n">
        <f aca="false">COUNTIF($H$2:$H$326,A217)</f>
        <v>3</v>
      </c>
      <c r="K217" s="11" t="s">
        <v>55</v>
      </c>
      <c r="L217" s="14"/>
      <c r="M217" s="11" t="s">
        <v>813</v>
      </c>
    </row>
    <row r="218" customFormat="false" ht="15" hidden="false" customHeight="true" outlineLevel="0" collapsed="false">
      <c r="A218" s="11" t="s">
        <v>814</v>
      </c>
      <c r="B218" s="12"/>
      <c r="C218" s="11" t="s">
        <v>52</v>
      </c>
      <c r="D218" s="11" t="s">
        <v>815</v>
      </c>
      <c r="E218" s="11" t="s">
        <v>806</v>
      </c>
      <c r="F218" s="11" t="s">
        <v>776</v>
      </c>
      <c r="G218" s="11" t="n">
        <v>3</v>
      </c>
      <c r="H218" s="11" t="s">
        <v>811</v>
      </c>
      <c r="I218" s="11" t="s">
        <v>812</v>
      </c>
      <c r="J218" s="11" t="n">
        <f aca="false">COUNTIF($H$2:$H$326,A218)</f>
        <v>0</v>
      </c>
      <c r="K218" s="11" t="s">
        <v>63</v>
      </c>
      <c r="L218" s="14"/>
      <c r="M218" s="11" t="s">
        <v>816</v>
      </c>
    </row>
    <row r="219" customFormat="false" ht="15" hidden="false" customHeight="true" outlineLevel="0" collapsed="false">
      <c r="A219" s="11" t="s">
        <v>817</v>
      </c>
      <c r="B219" s="12"/>
      <c r="C219" s="11" t="s">
        <v>52</v>
      </c>
      <c r="D219" s="11" t="s">
        <v>818</v>
      </c>
      <c r="E219" s="11" t="s">
        <v>806</v>
      </c>
      <c r="F219" s="11" t="s">
        <v>776</v>
      </c>
      <c r="G219" s="11" t="n">
        <v>3</v>
      </c>
      <c r="H219" s="11" t="s">
        <v>811</v>
      </c>
      <c r="I219" s="11" t="s">
        <v>812</v>
      </c>
      <c r="J219" s="11" t="n">
        <f aca="false">COUNTIF($H$2:$H$326,A219)</f>
        <v>0</v>
      </c>
      <c r="K219" s="11" t="s">
        <v>63</v>
      </c>
      <c r="L219" s="14"/>
      <c r="M219" s="11" t="s">
        <v>819</v>
      </c>
    </row>
    <row r="220" customFormat="false" ht="15" hidden="false" customHeight="true" outlineLevel="0" collapsed="false">
      <c r="A220" s="11" t="s">
        <v>820</v>
      </c>
      <c r="B220" s="12"/>
      <c r="C220" s="11" t="s">
        <v>52</v>
      </c>
      <c r="D220" s="11" t="s">
        <v>821</v>
      </c>
      <c r="E220" s="11" t="s">
        <v>806</v>
      </c>
      <c r="F220" s="11" t="s">
        <v>776</v>
      </c>
      <c r="G220" s="11" t="n">
        <v>3</v>
      </c>
      <c r="H220" s="11" t="s">
        <v>811</v>
      </c>
      <c r="I220" s="11" t="s">
        <v>812</v>
      </c>
      <c r="J220" s="11" t="n">
        <f aca="false">COUNTIF($H$2:$H$326,A220)</f>
        <v>0</v>
      </c>
      <c r="K220" s="11" t="s">
        <v>63</v>
      </c>
      <c r="L220" s="14"/>
      <c r="M220" s="11" t="s">
        <v>822</v>
      </c>
    </row>
    <row r="221" customFormat="false" ht="15" hidden="false" customHeight="true" outlineLevel="0" collapsed="false">
      <c r="A221" s="11" t="s">
        <v>823</v>
      </c>
      <c r="B221" s="12"/>
      <c r="C221" s="11" t="s">
        <v>52</v>
      </c>
      <c r="D221" s="11" t="s">
        <v>824</v>
      </c>
      <c r="E221" s="11" t="s">
        <v>825</v>
      </c>
      <c r="F221" s="11" t="s">
        <v>776</v>
      </c>
      <c r="G221" s="11" t="n">
        <v>2</v>
      </c>
      <c r="H221" s="11" t="s">
        <v>773</v>
      </c>
      <c r="I221" s="11" t="s">
        <v>774</v>
      </c>
      <c r="J221" s="11" t="n">
        <f aca="false">COUNTIF($H$2:$H$326,A221)</f>
        <v>0</v>
      </c>
      <c r="K221" s="11" t="s">
        <v>63</v>
      </c>
      <c r="L221" s="14"/>
      <c r="M221" s="11" t="s">
        <v>826</v>
      </c>
    </row>
    <row r="222" customFormat="false" ht="15" hidden="false" customHeight="true" outlineLevel="0" collapsed="false">
      <c r="A222" s="11" t="s">
        <v>827</v>
      </c>
      <c r="B222" s="12"/>
      <c r="C222" s="11" t="s">
        <v>52</v>
      </c>
      <c r="D222" s="11" t="s">
        <v>828</v>
      </c>
      <c r="E222" s="11" t="s">
        <v>829</v>
      </c>
      <c r="F222" s="11" t="s">
        <v>830</v>
      </c>
      <c r="G222" s="11" t="n">
        <v>1</v>
      </c>
      <c r="H222" s="11"/>
      <c r="I222" s="11"/>
      <c r="J222" s="11" t="n">
        <f aca="false">COUNTIF($H$2:$H$326,A222)</f>
        <v>1</v>
      </c>
      <c r="K222" s="11" t="s">
        <v>348</v>
      </c>
      <c r="L222" s="14"/>
      <c r="M222" s="11" t="s">
        <v>831</v>
      </c>
    </row>
    <row r="223" customFormat="false" ht="15" hidden="false" customHeight="true" outlineLevel="0" collapsed="false">
      <c r="A223" s="11" t="s">
        <v>832</v>
      </c>
      <c r="B223" s="12"/>
      <c r="C223" s="11" t="s">
        <v>52</v>
      </c>
      <c r="D223" s="11" t="s">
        <v>833</v>
      </c>
      <c r="E223" s="11" t="s">
        <v>428</v>
      </c>
      <c r="F223" s="11" t="s">
        <v>830</v>
      </c>
      <c r="G223" s="11" t="n">
        <v>2</v>
      </c>
      <c r="H223" s="11" t="s">
        <v>827</v>
      </c>
      <c r="I223" s="11" t="s">
        <v>828</v>
      </c>
      <c r="J223" s="11" t="n">
        <f aca="false">COUNTIF($H$2:$H$326,A223)</f>
        <v>7</v>
      </c>
      <c r="K223" s="11" t="s">
        <v>55</v>
      </c>
      <c r="L223" s="14"/>
      <c r="M223" s="11" t="s">
        <v>834</v>
      </c>
    </row>
    <row r="224" customFormat="false" ht="15" hidden="false" customHeight="true" outlineLevel="0" collapsed="false">
      <c r="A224" s="11" t="s">
        <v>835</v>
      </c>
      <c r="B224" s="12"/>
      <c r="C224" s="11" t="s">
        <v>52</v>
      </c>
      <c r="D224" s="11" t="s">
        <v>836</v>
      </c>
      <c r="E224" s="11" t="s">
        <v>837</v>
      </c>
      <c r="F224" s="11" t="s">
        <v>830</v>
      </c>
      <c r="G224" s="11" t="n">
        <v>3</v>
      </c>
      <c r="H224" s="11" t="s">
        <v>832</v>
      </c>
      <c r="I224" s="11" t="s">
        <v>833</v>
      </c>
      <c r="J224" s="11" t="n">
        <f aca="false">COUNTIF($H$2:$H$326,A224)</f>
        <v>3</v>
      </c>
      <c r="K224" s="11" t="s">
        <v>55</v>
      </c>
      <c r="L224" s="14"/>
      <c r="M224" s="11" t="s">
        <v>838</v>
      </c>
    </row>
    <row r="225" customFormat="false" ht="23.25" hidden="false" customHeight="true" outlineLevel="0" collapsed="false">
      <c r="A225" s="11" t="s">
        <v>839</v>
      </c>
      <c r="B225" s="12"/>
      <c r="C225" s="11" t="s">
        <v>52</v>
      </c>
      <c r="D225" s="11" t="s">
        <v>840</v>
      </c>
      <c r="E225" s="11" t="s">
        <v>841</v>
      </c>
      <c r="F225" s="11" t="s">
        <v>830</v>
      </c>
      <c r="G225" s="11" t="n">
        <v>4</v>
      </c>
      <c r="H225" s="11" t="s">
        <v>835</v>
      </c>
      <c r="I225" s="11" t="s">
        <v>836</v>
      </c>
      <c r="J225" s="11" t="n">
        <f aca="false">COUNTIF($H$2:$H$326,A225)</f>
        <v>1</v>
      </c>
      <c r="K225" s="11" t="s">
        <v>55</v>
      </c>
      <c r="L225" s="13" t="s">
        <v>842</v>
      </c>
      <c r="M225" s="11" t="s">
        <v>843</v>
      </c>
    </row>
    <row r="226" customFormat="false" ht="23.25" hidden="false" customHeight="true" outlineLevel="0" collapsed="false">
      <c r="A226" s="11" t="s">
        <v>844</v>
      </c>
      <c r="B226" s="12"/>
      <c r="C226" s="11" t="s">
        <v>52</v>
      </c>
      <c r="D226" s="11" t="s">
        <v>196</v>
      </c>
      <c r="E226" s="11" t="s">
        <v>845</v>
      </c>
      <c r="F226" s="11" t="s">
        <v>830</v>
      </c>
      <c r="G226" s="11" t="n">
        <v>5</v>
      </c>
      <c r="H226" s="11" t="s">
        <v>839</v>
      </c>
      <c r="I226" s="11" t="s">
        <v>840</v>
      </c>
      <c r="J226" s="11" t="n">
        <f aca="false">COUNTIF($H$2:$H$326,A226)</f>
        <v>0</v>
      </c>
      <c r="K226" s="11" t="s">
        <v>63</v>
      </c>
      <c r="L226" s="13" t="s">
        <v>187</v>
      </c>
      <c r="M226" s="11" t="s">
        <v>846</v>
      </c>
    </row>
    <row r="227" customFormat="false" ht="15" hidden="false" customHeight="true" outlineLevel="0" collapsed="false">
      <c r="A227" s="11" t="s">
        <v>847</v>
      </c>
      <c r="B227" s="12"/>
      <c r="C227" s="11" t="s">
        <v>52</v>
      </c>
      <c r="D227" s="11" t="s">
        <v>848</v>
      </c>
      <c r="E227" s="11" t="s">
        <v>100</v>
      </c>
      <c r="F227" s="11" t="s">
        <v>830</v>
      </c>
      <c r="G227" s="11" t="n">
        <v>4</v>
      </c>
      <c r="H227" s="11" t="s">
        <v>835</v>
      </c>
      <c r="I227" s="11" t="s">
        <v>836</v>
      </c>
      <c r="J227" s="11" t="n">
        <f aca="false">COUNTIF($H$2:$H$326,A227)</f>
        <v>5</v>
      </c>
      <c r="K227" s="11" t="s">
        <v>100</v>
      </c>
      <c r="L227" s="14"/>
      <c r="M227" s="11" t="s">
        <v>849</v>
      </c>
    </row>
    <row r="228" customFormat="false" ht="15" hidden="false" customHeight="true" outlineLevel="0" collapsed="false">
      <c r="A228" s="11" t="s">
        <v>850</v>
      </c>
      <c r="B228" s="12"/>
      <c r="C228" s="11" t="s">
        <v>52</v>
      </c>
      <c r="D228" s="11" t="s">
        <v>851</v>
      </c>
      <c r="E228" s="11" t="s">
        <v>841</v>
      </c>
      <c r="F228" s="11" t="s">
        <v>830</v>
      </c>
      <c r="G228" s="11" t="n">
        <v>5</v>
      </c>
      <c r="H228" s="11" t="s">
        <v>847</v>
      </c>
      <c r="I228" s="11" t="s">
        <v>848</v>
      </c>
      <c r="J228" s="11" t="n">
        <f aca="false">COUNTIF($H$2:$H$326,A228)</f>
        <v>0</v>
      </c>
      <c r="K228" s="11" t="s">
        <v>63</v>
      </c>
      <c r="L228" s="13" t="s">
        <v>72</v>
      </c>
      <c r="M228" s="11" t="s">
        <v>852</v>
      </c>
    </row>
    <row r="229" customFormat="false" ht="15" hidden="false" customHeight="true" outlineLevel="0" collapsed="false">
      <c r="A229" s="11" t="s">
        <v>853</v>
      </c>
      <c r="B229" s="12"/>
      <c r="C229" s="11" t="s">
        <v>52</v>
      </c>
      <c r="D229" s="11" t="s">
        <v>854</v>
      </c>
      <c r="E229" s="11" t="s">
        <v>845</v>
      </c>
      <c r="F229" s="11" t="s">
        <v>830</v>
      </c>
      <c r="G229" s="11" t="n">
        <v>5</v>
      </c>
      <c r="H229" s="11" t="s">
        <v>847</v>
      </c>
      <c r="I229" s="11" t="s">
        <v>848</v>
      </c>
      <c r="J229" s="11" t="n">
        <f aca="false">COUNTIF($H$2:$H$326,A229)</f>
        <v>0</v>
      </c>
      <c r="K229" s="11" t="s">
        <v>63</v>
      </c>
      <c r="L229" s="14"/>
      <c r="M229" s="11" t="s">
        <v>855</v>
      </c>
    </row>
    <row r="230" customFormat="false" ht="15" hidden="false" customHeight="true" outlineLevel="0" collapsed="false">
      <c r="A230" s="11" t="s">
        <v>856</v>
      </c>
      <c r="B230" s="12"/>
      <c r="C230" s="11" t="s">
        <v>52</v>
      </c>
      <c r="D230" s="11" t="s">
        <v>857</v>
      </c>
      <c r="E230" s="11" t="s">
        <v>845</v>
      </c>
      <c r="F230" s="11" t="s">
        <v>830</v>
      </c>
      <c r="G230" s="11" t="n">
        <v>5</v>
      </c>
      <c r="H230" s="11" t="s">
        <v>847</v>
      </c>
      <c r="I230" s="11" t="s">
        <v>848</v>
      </c>
      <c r="J230" s="11" t="n">
        <f aca="false">COUNTIF($H$2:$H$326,A230)</f>
        <v>0</v>
      </c>
      <c r="K230" s="11" t="s">
        <v>63</v>
      </c>
      <c r="L230" s="14"/>
      <c r="M230" s="11" t="s">
        <v>858</v>
      </c>
    </row>
    <row r="231" customFormat="false" ht="15" hidden="false" customHeight="true" outlineLevel="0" collapsed="false">
      <c r="A231" s="11" t="s">
        <v>859</v>
      </c>
      <c r="B231" s="12"/>
      <c r="C231" s="11" t="s">
        <v>52</v>
      </c>
      <c r="D231" s="11" t="s">
        <v>860</v>
      </c>
      <c r="E231" s="11" t="s">
        <v>845</v>
      </c>
      <c r="F231" s="11" t="s">
        <v>830</v>
      </c>
      <c r="G231" s="11" t="n">
        <v>5</v>
      </c>
      <c r="H231" s="11" t="s">
        <v>847</v>
      </c>
      <c r="I231" s="11" t="s">
        <v>848</v>
      </c>
      <c r="J231" s="11" t="n">
        <f aca="false">COUNTIF($H$2:$H$326,A231)</f>
        <v>0</v>
      </c>
      <c r="K231" s="11" t="s">
        <v>63</v>
      </c>
      <c r="L231" s="13" t="s">
        <v>72</v>
      </c>
      <c r="M231" s="11" t="s">
        <v>861</v>
      </c>
    </row>
    <row r="232" customFormat="false" ht="15" hidden="false" customHeight="true" outlineLevel="0" collapsed="false">
      <c r="A232" s="11" t="s">
        <v>862</v>
      </c>
      <c r="B232" s="12"/>
      <c r="C232" s="11" t="s">
        <v>52</v>
      </c>
      <c r="D232" s="11" t="s">
        <v>863</v>
      </c>
      <c r="E232" s="11" t="s">
        <v>845</v>
      </c>
      <c r="F232" s="11" t="s">
        <v>830</v>
      </c>
      <c r="G232" s="11" t="n">
        <v>5</v>
      </c>
      <c r="H232" s="11" t="s">
        <v>847</v>
      </c>
      <c r="I232" s="11" t="s">
        <v>848</v>
      </c>
      <c r="J232" s="11" t="n">
        <f aca="false">COUNTIF($H$2:$H$326,A232)</f>
        <v>0</v>
      </c>
      <c r="K232" s="11" t="s">
        <v>63</v>
      </c>
      <c r="L232" s="13" t="s">
        <v>72</v>
      </c>
      <c r="M232" s="11" t="s">
        <v>864</v>
      </c>
    </row>
    <row r="233" customFormat="false" ht="15" hidden="false" customHeight="true" outlineLevel="0" collapsed="false">
      <c r="A233" s="11" t="s">
        <v>865</v>
      </c>
      <c r="B233" s="12"/>
      <c r="C233" s="11" t="s">
        <v>52</v>
      </c>
      <c r="D233" s="11" t="s">
        <v>866</v>
      </c>
      <c r="E233" s="11" t="s">
        <v>100</v>
      </c>
      <c r="F233" s="11" t="s">
        <v>830</v>
      </c>
      <c r="G233" s="11" t="n">
        <v>4</v>
      </c>
      <c r="H233" s="11" t="s">
        <v>835</v>
      </c>
      <c r="I233" s="11" t="s">
        <v>836</v>
      </c>
      <c r="J233" s="11" t="n">
        <f aca="false">COUNTIF($H$2:$H$326,A233)</f>
        <v>4</v>
      </c>
      <c r="K233" s="11" t="s">
        <v>100</v>
      </c>
      <c r="L233" s="13" t="s">
        <v>72</v>
      </c>
      <c r="M233" s="11" t="s">
        <v>867</v>
      </c>
    </row>
    <row r="234" customFormat="false" ht="15" hidden="false" customHeight="true" outlineLevel="0" collapsed="false">
      <c r="A234" s="11" t="s">
        <v>868</v>
      </c>
      <c r="B234" s="12"/>
      <c r="C234" s="11" t="s">
        <v>52</v>
      </c>
      <c r="D234" s="11" t="s">
        <v>869</v>
      </c>
      <c r="E234" s="11" t="s">
        <v>845</v>
      </c>
      <c r="F234" s="11" t="s">
        <v>830</v>
      </c>
      <c r="G234" s="11" t="n">
        <v>5</v>
      </c>
      <c r="H234" s="11" t="s">
        <v>865</v>
      </c>
      <c r="I234" s="11" t="s">
        <v>866</v>
      </c>
      <c r="J234" s="11" t="n">
        <f aca="false">COUNTIF($H$2:$H$326,A234)</f>
        <v>0</v>
      </c>
      <c r="K234" s="11" t="s">
        <v>63</v>
      </c>
      <c r="L234" s="14"/>
      <c r="M234" s="11" t="s">
        <v>870</v>
      </c>
    </row>
    <row r="235" customFormat="false" ht="15" hidden="false" customHeight="true" outlineLevel="0" collapsed="false">
      <c r="A235" s="11" t="s">
        <v>871</v>
      </c>
      <c r="B235" s="12"/>
      <c r="C235" s="11" t="s">
        <v>52</v>
      </c>
      <c r="D235" s="11" t="s">
        <v>872</v>
      </c>
      <c r="E235" s="11" t="s">
        <v>845</v>
      </c>
      <c r="F235" s="11" t="s">
        <v>830</v>
      </c>
      <c r="G235" s="11" t="n">
        <v>5</v>
      </c>
      <c r="H235" s="11" t="s">
        <v>865</v>
      </c>
      <c r="I235" s="11" t="s">
        <v>866</v>
      </c>
      <c r="J235" s="11" t="n">
        <f aca="false">COUNTIF($H$2:$H$326,A235)</f>
        <v>0</v>
      </c>
      <c r="K235" s="11" t="s">
        <v>63</v>
      </c>
      <c r="L235" s="14"/>
      <c r="M235" s="11" t="s">
        <v>873</v>
      </c>
    </row>
    <row r="236" customFormat="false" ht="15" hidden="false" customHeight="true" outlineLevel="0" collapsed="false">
      <c r="A236" s="11" t="s">
        <v>874</v>
      </c>
      <c r="B236" s="12"/>
      <c r="C236" s="11" t="s">
        <v>52</v>
      </c>
      <c r="D236" s="11" t="s">
        <v>875</v>
      </c>
      <c r="E236" s="11" t="s">
        <v>841</v>
      </c>
      <c r="F236" s="11" t="s">
        <v>830</v>
      </c>
      <c r="G236" s="11" t="n">
        <v>5</v>
      </c>
      <c r="H236" s="11" t="s">
        <v>865</v>
      </c>
      <c r="I236" s="11" t="s">
        <v>866</v>
      </c>
      <c r="J236" s="11" t="n">
        <f aca="false">COUNTIF($H$2:$H$326,A236)</f>
        <v>2</v>
      </c>
      <c r="K236" s="11" t="s">
        <v>55</v>
      </c>
      <c r="L236" s="13" t="s">
        <v>72</v>
      </c>
      <c r="M236" s="11" t="s">
        <v>876</v>
      </c>
    </row>
    <row r="237" customFormat="false" ht="15" hidden="false" customHeight="true" outlineLevel="0" collapsed="false">
      <c r="A237" s="11" t="s">
        <v>877</v>
      </c>
      <c r="B237" s="12"/>
      <c r="C237" s="11" t="s">
        <v>52</v>
      </c>
      <c r="D237" s="11" t="s">
        <v>878</v>
      </c>
      <c r="E237" s="11" t="s">
        <v>845</v>
      </c>
      <c r="F237" s="11" t="s">
        <v>830</v>
      </c>
      <c r="G237" s="11" t="n">
        <v>6</v>
      </c>
      <c r="H237" s="11" t="s">
        <v>874</v>
      </c>
      <c r="I237" s="11" t="s">
        <v>875</v>
      </c>
      <c r="J237" s="11" t="n">
        <f aca="false">COUNTIF($H$2:$H$326,A237)</f>
        <v>0</v>
      </c>
      <c r="K237" s="11" t="s">
        <v>63</v>
      </c>
      <c r="L237" s="14"/>
      <c r="M237" s="11" t="s">
        <v>879</v>
      </c>
    </row>
    <row r="238" customFormat="false" ht="15" hidden="false" customHeight="true" outlineLevel="0" collapsed="false">
      <c r="A238" s="11" t="s">
        <v>880</v>
      </c>
      <c r="B238" s="12"/>
      <c r="C238" s="11" t="s">
        <v>52</v>
      </c>
      <c r="D238" s="11" t="s">
        <v>881</v>
      </c>
      <c r="E238" s="11" t="s">
        <v>845</v>
      </c>
      <c r="F238" s="11" t="s">
        <v>830</v>
      </c>
      <c r="G238" s="11" t="n">
        <v>6</v>
      </c>
      <c r="H238" s="11" t="s">
        <v>874</v>
      </c>
      <c r="I238" s="11" t="s">
        <v>875</v>
      </c>
      <c r="J238" s="11" t="n">
        <f aca="false">COUNTIF($H$2:$H$326,A238)</f>
        <v>0</v>
      </c>
      <c r="K238" s="11" t="s">
        <v>63</v>
      </c>
      <c r="L238" s="14"/>
      <c r="M238" s="11" t="s">
        <v>882</v>
      </c>
    </row>
    <row r="239" customFormat="false" ht="15" hidden="false" customHeight="true" outlineLevel="0" collapsed="false">
      <c r="A239" s="11" t="s">
        <v>883</v>
      </c>
      <c r="B239" s="12"/>
      <c r="C239" s="11" t="s">
        <v>52</v>
      </c>
      <c r="D239" s="11" t="s">
        <v>884</v>
      </c>
      <c r="E239" s="11" t="s">
        <v>845</v>
      </c>
      <c r="F239" s="11" t="s">
        <v>830</v>
      </c>
      <c r="G239" s="11" t="n">
        <v>5</v>
      </c>
      <c r="H239" s="11" t="s">
        <v>865</v>
      </c>
      <c r="I239" s="11" t="s">
        <v>866</v>
      </c>
      <c r="J239" s="11" t="n">
        <f aca="false">COUNTIF($H$2:$H$326,A239)</f>
        <v>0</v>
      </c>
      <c r="K239" s="11" t="s">
        <v>63</v>
      </c>
      <c r="L239" s="13" t="s">
        <v>72</v>
      </c>
      <c r="M239" s="11" t="s">
        <v>885</v>
      </c>
    </row>
    <row r="240" customFormat="false" ht="15" hidden="false" customHeight="true" outlineLevel="0" collapsed="false">
      <c r="A240" s="11" t="s">
        <v>886</v>
      </c>
      <c r="B240" s="12"/>
      <c r="C240" s="11" t="s">
        <v>52</v>
      </c>
      <c r="D240" s="11" t="s">
        <v>887</v>
      </c>
      <c r="E240" s="11" t="s">
        <v>888</v>
      </c>
      <c r="F240" s="11" t="s">
        <v>830</v>
      </c>
      <c r="G240" s="11" t="n">
        <v>3</v>
      </c>
      <c r="H240" s="11" t="s">
        <v>832</v>
      </c>
      <c r="I240" s="11" t="s">
        <v>833</v>
      </c>
      <c r="J240" s="11" t="n">
        <f aca="false">COUNTIF($H$2:$H$326,A240)</f>
        <v>3</v>
      </c>
      <c r="K240" s="11" t="s">
        <v>55</v>
      </c>
      <c r="L240" s="14"/>
      <c r="M240" s="11" t="s">
        <v>889</v>
      </c>
    </row>
    <row r="241" customFormat="false" ht="15" hidden="false" customHeight="true" outlineLevel="0" collapsed="false">
      <c r="A241" s="11" t="s">
        <v>890</v>
      </c>
      <c r="B241" s="12"/>
      <c r="C241" s="11" t="s">
        <v>52</v>
      </c>
      <c r="D241" s="11" t="s">
        <v>891</v>
      </c>
      <c r="E241" s="11" t="s">
        <v>845</v>
      </c>
      <c r="F241" s="11" t="s">
        <v>830</v>
      </c>
      <c r="G241" s="11" t="n">
        <v>4</v>
      </c>
      <c r="H241" s="11" t="s">
        <v>886</v>
      </c>
      <c r="I241" s="11" t="s">
        <v>887</v>
      </c>
      <c r="J241" s="11" t="n">
        <f aca="false">COUNTIF($H$2:$H$326,A241)</f>
        <v>0</v>
      </c>
      <c r="K241" s="11" t="s">
        <v>63</v>
      </c>
      <c r="L241" s="14"/>
      <c r="M241" s="11" t="s">
        <v>892</v>
      </c>
    </row>
    <row r="242" customFormat="false" ht="15" hidden="false" customHeight="true" outlineLevel="0" collapsed="false">
      <c r="A242" s="11" t="s">
        <v>893</v>
      </c>
      <c r="B242" s="12"/>
      <c r="C242" s="11" t="s">
        <v>52</v>
      </c>
      <c r="D242" s="11" t="s">
        <v>894</v>
      </c>
      <c r="E242" s="11" t="s">
        <v>452</v>
      </c>
      <c r="F242" s="11" t="s">
        <v>830</v>
      </c>
      <c r="G242" s="11" t="n">
        <v>4</v>
      </c>
      <c r="H242" s="11" t="s">
        <v>886</v>
      </c>
      <c r="I242" s="11" t="s">
        <v>887</v>
      </c>
      <c r="J242" s="11" t="n">
        <f aca="false">COUNTIF($H$2:$H$326,A242)</f>
        <v>6</v>
      </c>
      <c r="K242" s="11" t="s">
        <v>100</v>
      </c>
      <c r="L242" s="14"/>
      <c r="M242" s="11" t="s">
        <v>895</v>
      </c>
    </row>
    <row r="243" customFormat="false" ht="23.25" hidden="false" customHeight="true" outlineLevel="0" collapsed="false">
      <c r="A243" s="11" t="s">
        <v>896</v>
      </c>
      <c r="B243" s="12"/>
      <c r="C243" s="11" t="s">
        <v>52</v>
      </c>
      <c r="D243" s="11" t="s">
        <v>897</v>
      </c>
      <c r="E243" s="11" t="s">
        <v>845</v>
      </c>
      <c r="F243" s="11" t="s">
        <v>830</v>
      </c>
      <c r="G243" s="11" t="n">
        <v>5</v>
      </c>
      <c r="H243" s="11" t="s">
        <v>893</v>
      </c>
      <c r="I243" s="11" t="s">
        <v>894</v>
      </c>
      <c r="J243" s="11" t="n">
        <f aca="false">COUNTIF($H$2:$H$326,A243)</f>
        <v>0</v>
      </c>
      <c r="K243" s="11" t="s">
        <v>63</v>
      </c>
      <c r="L243" s="13" t="s">
        <v>787</v>
      </c>
      <c r="M243" s="11" t="s">
        <v>898</v>
      </c>
    </row>
    <row r="244" customFormat="false" ht="15" hidden="false" customHeight="true" outlineLevel="0" collapsed="false">
      <c r="A244" s="11" t="s">
        <v>899</v>
      </c>
      <c r="B244" s="12"/>
      <c r="C244" s="11" t="s">
        <v>52</v>
      </c>
      <c r="D244" s="11" t="s">
        <v>900</v>
      </c>
      <c r="E244" s="11" t="s">
        <v>845</v>
      </c>
      <c r="F244" s="11" t="s">
        <v>830</v>
      </c>
      <c r="G244" s="11" t="n">
        <v>5</v>
      </c>
      <c r="H244" s="11" t="s">
        <v>893</v>
      </c>
      <c r="I244" s="11" t="s">
        <v>894</v>
      </c>
      <c r="J244" s="11" t="n">
        <f aca="false">COUNTIF($H$2:$H$326,A244)</f>
        <v>0</v>
      </c>
      <c r="K244" s="11" t="s">
        <v>63</v>
      </c>
      <c r="L244" s="13" t="s">
        <v>72</v>
      </c>
      <c r="M244" s="11" t="s">
        <v>901</v>
      </c>
    </row>
    <row r="245" customFormat="false" ht="15" hidden="false" customHeight="true" outlineLevel="0" collapsed="false">
      <c r="A245" s="11" t="s">
        <v>902</v>
      </c>
      <c r="B245" s="12"/>
      <c r="C245" s="11" t="s">
        <v>52</v>
      </c>
      <c r="D245" s="11" t="s">
        <v>903</v>
      </c>
      <c r="E245" s="11" t="s">
        <v>841</v>
      </c>
      <c r="F245" s="11" t="s">
        <v>830</v>
      </c>
      <c r="G245" s="11" t="n">
        <v>5</v>
      </c>
      <c r="H245" s="11" t="s">
        <v>893</v>
      </c>
      <c r="I245" s="11" t="s">
        <v>894</v>
      </c>
      <c r="J245" s="11" t="n">
        <f aca="false">COUNTIF($H$2:$H$326,A245)</f>
        <v>0</v>
      </c>
      <c r="K245" s="11" t="s">
        <v>63</v>
      </c>
      <c r="L245" s="13" t="s">
        <v>72</v>
      </c>
      <c r="M245" s="11" t="s">
        <v>904</v>
      </c>
    </row>
    <row r="246" customFormat="false" ht="15" hidden="false" customHeight="true" outlineLevel="0" collapsed="false">
      <c r="A246" s="11" t="s">
        <v>905</v>
      </c>
      <c r="B246" s="12"/>
      <c r="C246" s="11" t="s">
        <v>52</v>
      </c>
      <c r="D246" s="11" t="s">
        <v>906</v>
      </c>
      <c r="E246" s="11" t="s">
        <v>845</v>
      </c>
      <c r="F246" s="11" t="s">
        <v>830</v>
      </c>
      <c r="G246" s="11" t="n">
        <v>5</v>
      </c>
      <c r="H246" s="11" t="s">
        <v>893</v>
      </c>
      <c r="I246" s="11" t="s">
        <v>894</v>
      </c>
      <c r="J246" s="11" t="n">
        <f aca="false">COUNTIF($H$2:$H$326,A246)</f>
        <v>0</v>
      </c>
      <c r="K246" s="11" t="s">
        <v>63</v>
      </c>
      <c r="L246" s="13" t="s">
        <v>72</v>
      </c>
      <c r="M246" s="11" t="s">
        <v>907</v>
      </c>
    </row>
    <row r="247" customFormat="false" ht="15" hidden="false" customHeight="true" outlineLevel="0" collapsed="false">
      <c r="A247" s="11" t="s">
        <v>908</v>
      </c>
      <c r="B247" s="12"/>
      <c r="C247" s="11" t="s">
        <v>52</v>
      </c>
      <c r="D247" s="11" t="s">
        <v>909</v>
      </c>
      <c r="E247" s="11" t="s">
        <v>845</v>
      </c>
      <c r="F247" s="11" t="s">
        <v>830</v>
      </c>
      <c r="G247" s="11" t="n">
        <v>5</v>
      </c>
      <c r="H247" s="11" t="s">
        <v>893</v>
      </c>
      <c r="I247" s="11" t="s">
        <v>894</v>
      </c>
      <c r="J247" s="11" t="n">
        <f aca="false">COUNTIF($H$2:$H$326,A247)</f>
        <v>0</v>
      </c>
      <c r="K247" s="11" t="s">
        <v>63</v>
      </c>
      <c r="L247" s="14"/>
      <c r="M247" s="11" t="s">
        <v>910</v>
      </c>
    </row>
    <row r="248" customFormat="false" ht="15" hidden="false" customHeight="true" outlineLevel="0" collapsed="false">
      <c r="A248" s="11" t="s">
        <v>911</v>
      </c>
      <c r="B248" s="12"/>
      <c r="C248" s="11" t="s">
        <v>52</v>
      </c>
      <c r="D248" s="11" t="s">
        <v>912</v>
      </c>
      <c r="E248" s="11" t="s">
        <v>845</v>
      </c>
      <c r="F248" s="11" t="s">
        <v>830</v>
      </c>
      <c r="G248" s="11" t="n">
        <v>5</v>
      </c>
      <c r="H248" s="11" t="s">
        <v>893</v>
      </c>
      <c r="I248" s="11" t="s">
        <v>894</v>
      </c>
      <c r="J248" s="11" t="n">
        <f aca="false">COUNTIF($H$2:$H$326,A248)</f>
        <v>0</v>
      </c>
      <c r="K248" s="11" t="s">
        <v>63</v>
      </c>
      <c r="L248" s="14"/>
      <c r="M248" s="11" t="s">
        <v>913</v>
      </c>
    </row>
    <row r="249" customFormat="false" ht="15" hidden="false" customHeight="true" outlineLevel="0" collapsed="false">
      <c r="A249" s="11" t="s">
        <v>914</v>
      </c>
      <c r="B249" s="12"/>
      <c r="C249" s="11" t="s">
        <v>52</v>
      </c>
      <c r="D249" s="11" t="s">
        <v>915</v>
      </c>
      <c r="E249" s="11" t="s">
        <v>837</v>
      </c>
      <c r="F249" s="11" t="s">
        <v>830</v>
      </c>
      <c r="G249" s="11" t="n">
        <v>4</v>
      </c>
      <c r="H249" s="11" t="s">
        <v>886</v>
      </c>
      <c r="I249" s="11" t="s">
        <v>887</v>
      </c>
      <c r="J249" s="11" t="n">
        <f aca="false">COUNTIF($H$2:$H$326,A249)</f>
        <v>2</v>
      </c>
      <c r="K249" s="11" t="s">
        <v>55</v>
      </c>
      <c r="L249" s="14"/>
      <c r="M249" s="11" t="s">
        <v>916</v>
      </c>
    </row>
    <row r="250" customFormat="false" ht="15" hidden="false" customHeight="true" outlineLevel="0" collapsed="false">
      <c r="A250" s="11" t="s">
        <v>917</v>
      </c>
      <c r="B250" s="12"/>
      <c r="C250" s="11" t="s">
        <v>52</v>
      </c>
      <c r="D250" s="11" t="s">
        <v>918</v>
      </c>
      <c r="E250" s="11" t="s">
        <v>845</v>
      </c>
      <c r="F250" s="11" t="s">
        <v>830</v>
      </c>
      <c r="G250" s="11" t="n">
        <v>5</v>
      </c>
      <c r="H250" s="11" t="s">
        <v>914</v>
      </c>
      <c r="I250" s="11" t="s">
        <v>915</v>
      </c>
      <c r="J250" s="11" t="n">
        <f aca="false">COUNTIF($H$2:$H$326,A250)</f>
        <v>0</v>
      </c>
      <c r="K250" s="11" t="s">
        <v>63</v>
      </c>
      <c r="L250" s="14"/>
      <c r="M250" s="11" t="s">
        <v>919</v>
      </c>
    </row>
    <row r="251" customFormat="false" ht="15" hidden="false" customHeight="true" outlineLevel="0" collapsed="false">
      <c r="A251" s="11" t="s">
        <v>920</v>
      </c>
      <c r="B251" s="12"/>
      <c r="C251" s="11" t="s">
        <v>52</v>
      </c>
      <c r="D251" s="11" t="s">
        <v>921</v>
      </c>
      <c r="E251" s="11" t="s">
        <v>845</v>
      </c>
      <c r="F251" s="11" t="s">
        <v>830</v>
      </c>
      <c r="G251" s="11" t="n">
        <v>5</v>
      </c>
      <c r="H251" s="11" t="s">
        <v>914</v>
      </c>
      <c r="I251" s="11" t="s">
        <v>915</v>
      </c>
      <c r="J251" s="11" t="n">
        <f aca="false">COUNTIF($H$2:$H$326,A251)</f>
        <v>0</v>
      </c>
      <c r="K251" s="11" t="s">
        <v>63</v>
      </c>
      <c r="L251" s="14"/>
      <c r="M251" s="11" t="s">
        <v>922</v>
      </c>
    </row>
    <row r="252" customFormat="false" ht="15" hidden="false" customHeight="true" outlineLevel="0" collapsed="false">
      <c r="A252" s="11" t="s">
        <v>923</v>
      </c>
      <c r="B252" s="12"/>
      <c r="C252" s="11" t="s">
        <v>52</v>
      </c>
      <c r="D252" s="11" t="s">
        <v>924</v>
      </c>
      <c r="E252" s="11" t="s">
        <v>845</v>
      </c>
      <c r="F252" s="11" t="s">
        <v>830</v>
      </c>
      <c r="G252" s="11" t="n">
        <v>3</v>
      </c>
      <c r="H252" s="11" t="s">
        <v>832</v>
      </c>
      <c r="I252" s="11" t="s">
        <v>833</v>
      </c>
      <c r="J252" s="11" t="n">
        <f aca="false">COUNTIF($H$2:$H$326,A252)</f>
        <v>0</v>
      </c>
      <c r="K252" s="11" t="s">
        <v>63</v>
      </c>
      <c r="L252" s="14"/>
      <c r="M252" s="11" t="s">
        <v>925</v>
      </c>
    </row>
    <row r="253" customFormat="false" ht="23.25" hidden="false" customHeight="true" outlineLevel="0" collapsed="false">
      <c r="A253" s="11" t="s">
        <v>926</v>
      </c>
      <c r="B253" s="12"/>
      <c r="C253" s="11" t="s">
        <v>52</v>
      </c>
      <c r="D253" s="11" t="s">
        <v>758</v>
      </c>
      <c r="E253" s="11" t="s">
        <v>845</v>
      </c>
      <c r="F253" s="11" t="s">
        <v>830</v>
      </c>
      <c r="G253" s="11" t="n">
        <v>3</v>
      </c>
      <c r="H253" s="11" t="s">
        <v>832</v>
      </c>
      <c r="I253" s="11" t="s">
        <v>833</v>
      </c>
      <c r="J253" s="11" t="n">
        <f aca="false">COUNTIF($H$2:$H$326,A253)</f>
        <v>0</v>
      </c>
      <c r="K253" s="11" t="s">
        <v>63</v>
      </c>
      <c r="L253" s="13" t="s">
        <v>842</v>
      </c>
      <c r="M253" s="11" t="s">
        <v>927</v>
      </c>
    </row>
    <row r="254" customFormat="false" ht="15" hidden="false" customHeight="true" outlineLevel="0" collapsed="false">
      <c r="A254" s="11" t="s">
        <v>928</v>
      </c>
      <c r="B254" s="12"/>
      <c r="C254" s="11" t="s">
        <v>52</v>
      </c>
      <c r="D254" s="11" t="s">
        <v>929</v>
      </c>
      <c r="E254" s="11" t="s">
        <v>845</v>
      </c>
      <c r="F254" s="11" t="s">
        <v>830</v>
      </c>
      <c r="G254" s="11" t="n">
        <v>3</v>
      </c>
      <c r="H254" s="11" t="s">
        <v>832</v>
      </c>
      <c r="I254" s="11" t="s">
        <v>833</v>
      </c>
      <c r="J254" s="11" t="n">
        <f aca="false">COUNTIF($H$2:$H$326,A254)</f>
        <v>0</v>
      </c>
      <c r="K254" s="11" t="s">
        <v>63</v>
      </c>
      <c r="L254" s="13" t="s">
        <v>161</v>
      </c>
      <c r="M254" s="11" t="s">
        <v>930</v>
      </c>
    </row>
    <row r="255" customFormat="false" ht="23.25" hidden="false" customHeight="true" outlineLevel="0" collapsed="false">
      <c r="A255" s="11" t="s">
        <v>931</v>
      </c>
      <c r="B255" s="12"/>
      <c r="C255" s="11" t="s">
        <v>52</v>
      </c>
      <c r="D255" s="11" t="s">
        <v>897</v>
      </c>
      <c r="E255" s="11" t="s">
        <v>845</v>
      </c>
      <c r="F255" s="11" t="s">
        <v>830</v>
      </c>
      <c r="G255" s="11" t="n">
        <v>3</v>
      </c>
      <c r="H255" s="11" t="s">
        <v>832</v>
      </c>
      <c r="I255" s="11" t="s">
        <v>833</v>
      </c>
      <c r="J255" s="11" t="n">
        <f aca="false">COUNTIF($H$2:$H$326,A255)</f>
        <v>0</v>
      </c>
      <c r="K255" s="11" t="s">
        <v>63</v>
      </c>
      <c r="L255" s="13" t="s">
        <v>787</v>
      </c>
      <c r="M255" s="11" t="s">
        <v>898</v>
      </c>
    </row>
    <row r="256" customFormat="false" ht="15" hidden="false" customHeight="true" outlineLevel="0" collapsed="false">
      <c r="A256" s="11" t="s">
        <v>932</v>
      </c>
      <c r="B256" s="12"/>
      <c r="C256" s="11" t="s">
        <v>52</v>
      </c>
      <c r="D256" s="11" t="s">
        <v>933</v>
      </c>
      <c r="E256" s="11" t="s">
        <v>845</v>
      </c>
      <c r="F256" s="11" t="s">
        <v>830</v>
      </c>
      <c r="G256" s="11" t="n">
        <v>3</v>
      </c>
      <c r="H256" s="11" t="s">
        <v>832</v>
      </c>
      <c r="I256" s="11" t="s">
        <v>833</v>
      </c>
      <c r="J256" s="11" t="n">
        <f aca="false">COUNTIF($H$2:$H$326,A256)</f>
        <v>0</v>
      </c>
      <c r="K256" s="11" t="s">
        <v>63</v>
      </c>
      <c r="L256" s="14"/>
      <c r="M256" s="11" t="s">
        <v>934</v>
      </c>
    </row>
    <row r="257" customFormat="false" ht="15" hidden="false" customHeight="true" outlineLevel="0" collapsed="false">
      <c r="A257" s="11" t="s">
        <v>935</v>
      </c>
      <c r="B257" s="12"/>
      <c r="C257" s="11" t="s">
        <v>52</v>
      </c>
      <c r="D257" s="11" t="s">
        <v>936</v>
      </c>
      <c r="E257" s="11" t="s">
        <v>829</v>
      </c>
      <c r="F257" s="11" t="s">
        <v>937</v>
      </c>
      <c r="G257" s="11" t="n">
        <v>1</v>
      </c>
      <c r="H257" s="11"/>
      <c r="I257" s="11"/>
      <c r="J257" s="11" t="n">
        <f aca="false">COUNTIF($H$2:$H$326,A257)</f>
        <v>2</v>
      </c>
      <c r="K257" s="11" t="s">
        <v>348</v>
      </c>
      <c r="L257" s="14"/>
      <c r="M257" s="11" t="s">
        <v>938</v>
      </c>
    </row>
    <row r="258" customFormat="false" ht="15" hidden="false" customHeight="true" outlineLevel="0" collapsed="false">
      <c r="A258" s="11" t="s">
        <v>939</v>
      </c>
      <c r="B258" s="12"/>
      <c r="C258" s="11" t="s">
        <v>52</v>
      </c>
      <c r="D258" s="11" t="s">
        <v>940</v>
      </c>
      <c r="E258" s="11" t="s">
        <v>941</v>
      </c>
      <c r="F258" s="11" t="s">
        <v>937</v>
      </c>
      <c r="G258" s="11" t="n">
        <v>2</v>
      </c>
      <c r="H258" s="11" t="s">
        <v>935</v>
      </c>
      <c r="I258" s="11" t="s">
        <v>936</v>
      </c>
      <c r="J258" s="11" t="n">
        <f aca="false">COUNTIF($H$2:$H$326,A258)</f>
        <v>2</v>
      </c>
      <c r="K258" s="11" t="s">
        <v>55</v>
      </c>
      <c r="L258" s="14"/>
      <c r="M258" s="11" t="s">
        <v>942</v>
      </c>
    </row>
    <row r="259" customFormat="false" ht="15" hidden="false" customHeight="true" outlineLevel="0" collapsed="false">
      <c r="A259" s="11" t="s">
        <v>943</v>
      </c>
      <c r="B259" s="12"/>
      <c r="C259" s="11" t="s">
        <v>52</v>
      </c>
      <c r="D259" s="11" t="s">
        <v>944</v>
      </c>
      <c r="E259" s="11" t="s">
        <v>945</v>
      </c>
      <c r="F259" s="11" t="s">
        <v>937</v>
      </c>
      <c r="G259" s="11" t="n">
        <v>3</v>
      </c>
      <c r="H259" s="11" t="s">
        <v>939</v>
      </c>
      <c r="I259" s="11" t="s">
        <v>940</v>
      </c>
      <c r="J259" s="11" t="n">
        <f aca="false">COUNTIF($H$2:$H$326,A259)</f>
        <v>2</v>
      </c>
      <c r="K259" s="11" t="s">
        <v>100</v>
      </c>
      <c r="L259" s="14"/>
      <c r="M259" s="11" t="s">
        <v>946</v>
      </c>
    </row>
    <row r="260" customFormat="false" ht="15" hidden="false" customHeight="true" outlineLevel="0" collapsed="false">
      <c r="A260" s="11" t="s">
        <v>947</v>
      </c>
      <c r="B260" s="12"/>
      <c r="C260" s="11" t="s">
        <v>52</v>
      </c>
      <c r="D260" s="11" t="s">
        <v>948</v>
      </c>
      <c r="E260" s="11" t="s">
        <v>845</v>
      </c>
      <c r="F260" s="11" t="s">
        <v>937</v>
      </c>
      <c r="G260" s="11" t="n">
        <v>4</v>
      </c>
      <c r="H260" s="11" t="s">
        <v>943</v>
      </c>
      <c r="I260" s="11" t="s">
        <v>944</v>
      </c>
      <c r="J260" s="11" t="n">
        <f aca="false">COUNTIF($H$2:$H$326,A260)</f>
        <v>0</v>
      </c>
      <c r="K260" s="11" t="s">
        <v>63</v>
      </c>
      <c r="L260" s="13" t="s">
        <v>72</v>
      </c>
      <c r="M260" s="11" t="s">
        <v>949</v>
      </c>
    </row>
    <row r="261" customFormat="false" ht="15" hidden="false" customHeight="true" outlineLevel="0" collapsed="false">
      <c r="A261" s="11" t="s">
        <v>950</v>
      </c>
      <c r="B261" s="12"/>
      <c r="C261" s="11" t="s">
        <v>52</v>
      </c>
      <c r="D261" s="11" t="s">
        <v>951</v>
      </c>
      <c r="E261" s="11" t="s">
        <v>845</v>
      </c>
      <c r="F261" s="11" t="s">
        <v>937</v>
      </c>
      <c r="G261" s="11" t="n">
        <v>4</v>
      </c>
      <c r="H261" s="11" t="s">
        <v>943</v>
      </c>
      <c r="I261" s="11" t="s">
        <v>944</v>
      </c>
      <c r="J261" s="11" t="n">
        <f aca="false">COUNTIF($H$2:$H$326,A261)</f>
        <v>0</v>
      </c>
      <c r="K261" s="11" t="s">
        <v>63</v>
      </c>
      <c r="L261" s="13" t="s">
        <v>105</v>
      </c>
      <c r="M261" s="11" t="s">
        <v>952</v>
      </c>
    </row>
    <row r="262" customFormat="false" ht="15" hidden="false" customHeight="true" outlineLevel="0" collapsed="false">
      <c r="A262" s="11" t="s">
        <v>953</v>
      </c>
      <c r="B262" s="12"/>
      <c r="C262" s="11" t="s">
        <v>52</v>
      </c>
      <c r="D262" s="11" t="s">
        <v>954</v>
      </c>
      <c r="E262" s="11" t="s">
        <v>845</v>
      </c>
      <c r="F262" s="11" t="s">
        <v>937</v>
      </c>
      <c r="G262" s="11" t="n">
        <v>3</v>
      </c>
      <c r="H262" s="11" t="s">
        <v>939</v>
      </c>
      <c r="I262" s="11" t="s">
        <v>940</v>
      </c>
      <c r="J262" s="11" t="n">
        <f aca="false">COUNTIF($H$2:$H$326,A262)</f>
        <v>0</v>
      </c>
      <c r="K262" s="11" t="s">
        <v>63</v>
      </c>
      <c r="L262" s="14"/>
      <c r="M262" s="11" t="s">
        <v>955</v>
      </c>
    </row>
    <row r="263" customFormat="false" ht="15" hidden="false" customHeight="true" outlineLevel="0" collapsed="false">
      <c r="A263" s="11" t="s">
        <v>956</v>
      </c>
      <c r="B263" s="12"/>
      <c r="C263" s="11" t="s">
        <v>52</v>
      </c>
      <c r="D263" s="11" t="s">
        <v>957</v>
      </c>
      <c r="E263" s="11" t="s">
        <v>958</v>
      </c>
      <c r="F263" s="11" t="s">
        <v>937</v>
      </c>
      <c r="G263" s="11" t="n">
        <v>2</v>
      </c>
      <c r="H263" s="11" t="s">
        <v>935</v>
      </c>
      <c r="I263" s="11" t="s">
        <v>936</v>
      </c>
      <c r="J263" s="11" t="n">
        <f aca="false">COUNTIF($H$2:$H$326,A263)</f>
        <v>4</v>
      </c>
      <c r="K263" s="11" t="s">
        <v>55</v>
      </c>
      <c r="L263" s="14"/>
      <c r="M263" s="11" t="s">
        <v>959</v>
      </c>
    </row>
    <row r="264" customFormat="false" ht="15" hidden="false" customHeight="true" outlineLevel="0" collapsed="false">
      <c r="A264" s="11" t="s">
        <v>960</v>
      </c>
      <c r="B264" s="12"/>
      <c r="C264" s="11" t="s">
        <v>52</v>
      </c>
      <c r="D264" s="11" t="s">
        <v>961</v>
      </c>
      <c r="E264" s="11" t="s">
        <v>962</v>
      </c>
      <c r="F264" s="11" t="s">
        <v>937</v>
      </c>
      <c r="G264" s="11" t="n">
        <v>3</v>
      </c>
      <c r="H264" s="11" t="s">
        <v>956</v>
      </c>
      <c r="I264" s="11" t="s">
        <v>957</v>
      </c>
      <c r="J264" s="11" t="n">
        <f aca="false">COUNTIF($H$2:$H$326,A264)</f>
        <v>0</v>
      </c>
      <c r="K264" s="11" t="s">
        <v>63</v>
      </c>
      <c r="L264" s="14"/>
      <c r="M264" s="11" t="s">
        <v>963</v>
      </c>
    </row>
    <row r="265" customFormat="false" ht="15" hidden="false" customHeight="true" outlineLevel="0" collapsed="false">
      <c r="A265" s="11" t="s">
        <v>964</v>
      </c>
      <c r="B265" s="12"/>
      <c r="C265" s="11" t="s">
        <v>52</v>
      </c>
      <c r="D265" s="11" t="s">
        <v>965</v>
      </c>
      <c r="E265" s="11" t="s">
        <v>966</v>
      </c>
      <c r="F265" s="11" t="s">
        <v>937</v>
      </c>
      <c r="G265" s="11" t="n">
        <v>3</v>
      </c>
      <c r="H265" s="11" t="s">
        <v>956</v>
      </c>
      <c r="I265" s="11" t="s">
        <v>957</v>
      </c>
      <c r="J265" s="11" t="n">
        <f aca="false">COUNTIF($H$2:$H$326,A265)</f>
        <v>0</v>
      </c>
      <c r="K265" s="11" t="s">
        <v>63</v>
      </c>
      <c r="L265" s="13" t="s">
        <v>161</v>
      </c>
      <c r="M265" s="11" t="s">
        <v>967</v>
      </c>
    </row>
    <row r="266" customFormat="false" ht="15" hidden="false" customHeight="true" outlineLevel="0" collapsed="false">
      <c r="A266" s="11" t="s">
        <v>968</v>
      </c>
      <c r="B266" s="12"/>
      <c r="C266" s="11" t="s">
        <v>52</v>
      </c>
      <c r="D266" s="11" t="s">
        <v>969</v>
      </c>
      <c r="E266" s="11" t="s">
        <v>966</v>
      </c>
      <c r="F266" s="11" t="s">
        <v>937</v>
      </c>
      <c r="G266" s="11" t="n">
        <v>3</v>
      </c>
      <c r="H266" s="11" t="s">
        <v>956</v>
      </c>
      <c r="I266" s="11" t="s">
        <v>957</v>
      </c>
      <c r="J266" s="11" t="n">
        <f aca="false">COUNTIF($H$2:$H$326,A266)</f>
        <v>0</v>
      </c>
      <c r="K266" s="11" t="s">
        <v>63</v>
      </c>
      <c r="L266" s="14"/>
      <c r="M266" s="11" t="s">
        <v>970</v>
      </c>
    </row>
    <row r="267" customFormat="false" ht="15" hidden="false" customHeight="true" outlineLevel="0" collapsed="false">
      <c r="A267" s="11" t="s">
        <v>971</v>
      </c>
      <c r="B267" s="12"/>
      <c r="C267" s="11" t="s">
        <v>52</v>
      </c>
      <c r="D267" s="11" t="s">
        <v>972</v>
      </c>
      <c r="E267" s="11" t="s">
        <v>966</v>
      </c>
      <c r="F267" s="11" t="s">
        <v>937</v>
      </c>
      <c r="G267" s="11" t="n">
        <v>3</v>
      </c>
      <c r="H267" s="11" t="s">
        <v>956</v>
      </c>
      <c r="I267" s="11" t="s">
        <v>957</v>
      </c>
      <c r="J267" s="11" t="n">
        <f aca="false">COUNTIF($H$2:$H$326,A267)</f>
        <v>0</v>
      </c>
      <c r="K267" s="11" t="s">
        <v>63</v>
      </c>
      <c r="L267" s="13" t="s">
        <v>161</v>
      </c>
      <c r="M267" s="11" t="s">
        <v>973</v>
      </c>
    </row>
    <row r="268" customFormat="false" ht="15" hidden="false" customHeight="true" outlineLevel="0" collapsed="false">
      <c r="A268" s="11" t="s">
        <v>974</v>
      </c>
      <c r="B268" s="12"/>
      <c r="C268" s="11" t="s">
        <v>52</v>
      </c>
      <c r="D268" s="11" t="s">
        <v>975</v>
      </c>
      <c r="E268" s="11" t="s">
        <v>976</v>
      </c>
      <c r="F268" s="11" t="s">
        <v>977</v>
      </c>
      <c r="G268" s="11" t="n">
        <v>1</v>
      </c>
      <c r="H268" s="11"/>
      <c r="I268" s="11"/>
      <c r="J268" s="11" t="n">
        <f aca="false">COUNTIF($H$2:$H$326,A268)</f>
        <v>7</v>
      </c>
      <c r="K268" s="11" t="s">
        <v>348</v>
      </c>
      <c r="L268" s="14"/>
      <c r="M268" s="11" t="s">
        <v>978</v>
      </c>
    </row>
    <row r="269" customFormat="false" ht="15" hidden="false" customHeight="true" outlineLevel="0" collapsed="false">
      <c r="A269" s="11" t="s">
        <v>979</v>
      </c>
      <c r="B269" s="12"/>
      <c r="C269" s="11" t="s">
        <v>52</v>
      </c>
      <c r="D269" s="11" t="s">
        <v>103</v>
      </c>
      <c r="E269" s="11" t="s">
        <v>55</v>
      </c>
      <c r="F269" s="11" t="s">
        <v>977</v>
      </c>
      <c r="G269" s="11" t="n">
        <v>2</v>
      </c>
      <c r="H269" s="11" t="s">
        <v>974</v>
      </c>
      <c r="I269" s="11" t="s">
        <v>975</v>
      </c>
      <c r="J269" s="11" t="n">
        <f aca="false">COUNTIF($H$2:$H$326,A269)</f>
        <v>3</v>
      </c>
      <c r="K269" s="11" t="s">
        <v>55</v>
      </c>
      <c r="L269" s="13" t="s">
        <v>105</v>
      </c>
      <c r="M269" s="11" t="s">
        <v>980</v>
      </c>
    </row>
    <row r="270" customFormat="false" ht="15" hidden="false" customHeight="true" outlineLevel="0" collapsed="false">
      <c r="A270" s="11" t="s">
        <v>981</v>
      </c>
      <c r="B270" s="12"/>
      <c r="C270" s="11" t="s">
        <v>52</v>
      </c>
      <c r="D270" s="11" t="s">
        <v>982</v>
      </c>
      <c r="E270" s="11" t="s">
        <v>100</v>
      </c>
      <c r="F270" s="11" t="s">
        <v>977</v>
      </c>
      <c r="G270" s="11" t="n">
        <v>3</v>
      </c>
      <c r="H270" s="11" t="s">
        <v>979</v>
      </c>
      <c r="I270" s="11" t="s">
        <v>103</v>
      </c>
      <c r="J270" s="11" t="n">
        <f aca="false">COUNTIF($H$2:$H$326,A270)</f>
        <v>5</v>
      </c>
      <c r="K270" s="11" t="s">
        <v>100</v>
      </c>
      <c r="L270" s="14"/>
      <c r="M270" s="11" t="s">
        <v>983</v>
      </c>
    </row>
    <row r="271" customFormat="false" ht="15" hidden="false" customHeight="true" outlineLevel="0" collapsed="false">
      <c r="A271" s="11" t="s">
        <v>984</v>
      </c>
      <c r="B271" s="12"/>
      <c r="C271" s="11" t="s">
        <v>52</v>
      </c>
      <c r="D271" s="11" t="s">
        <v>985</v>
      </c>
      <c r="E271" s="11" t="s">
        <v>966</v>
      </c>
      <c r="F271" s="11" t="s">
        <v>977</v>
      </c>
      <c r="G271" s="11" t="n">
        <v>4</v>
      </c>
      <c r="H271" s="11" t="s">
        <v>981</v>
      </c>
      <c r="I271" s="11" t="s">
        <v>982</v>
      </c>
      <c r="J271" s="11" t="n">
        <f aca="false">COUNTIF($H$2:$H$326,A271)</f>
        <v>0</v>
      </c>
      <c r="K271" s="11" t="s">
        <v>63</v>
      </c>
      <c r="L271" s="13" t="s">
        <v>72</v>
      </c>
      <c r="M271" s="11" t="s">
        <v>986</v>
      </c>
    </row>
    <row r="272" customFormat="false" ht="15" hidden="false" customHeight="true" outlineLevel="0" collapsed="false">
      <c r="A272" s="11" t="s">
        <v>987</v>
      </c>
      <c r="B272" s="12"/>
      <c r="C272" s="11" t="s">
        <v>52</v>
      </c>
      <c r="D272" s="11" t="s">
        <v>988</v>
      </c>
      <c r="E272" s="11" t="s">
        <v>989</v>
      </c>
      <c r="F272" s="11" t="s">
        <v>977</v>
      </c>
      <c r="G272" s="11" t="n">
        <v>4</v>
      </c>
      <c r="H272" s="11" t="s">
        <v>981</v>
      </c>
      <c r="I272" s="11" t="s">
        <v>982</v>
      </c>
      <c r="J272" s="11" t="n">
        <f aca="false">COUNTIF($H$2:$H$326,A272)</f>
        <v>0</v>
      </c>
      <c r="K272" s="11" t="s">
        <v>63</v>
      </c>
      <c r="L272" s="14"/>
      <c r="M272" s="11" t="s">
        <v>990</v>
      </c>
    </row>
    <row r="273" customFormat="false" ht="15" hidden="false" customHeight="true" outlineLevel="0" collapsed="false">
      <c r="A273" s="11" t="s">
        <v>991</v>
      </c>
      <c r="B273" s="12"/>
      <c r="C273" s="11" t="s">
        <v>52</v>
      </c>
      <c r="D273" s="11" t="s">
        <v>992</v>
      </c>
      <c r="E273" s="11" t="s">
        <v>966</v>
      </c>
      <c r="F273" s="11" t="s">
        <v>977</v>
      </c>
      <c r="G273" s="11" t="n">
        <v>4</v>
      </c>
      <c r="H273" s="11" t="s">
        <v>981</v>
      </c>
      <c r="I273" s="11" t="s">
        <v>982</v>
      </c>
      <c r="J273" s="11" t="n">
        <f aca="false">COUNTIF($H$2:$H$326,A273)</f>
        <v>0</v>
      </c>
      <c r="K273" s="11" t="s">
        <v>63</v>
      </c>
      <c r="L273" s="14"/>
      <c r="M273" s="11" t="s">
        <v>993</v>
      </c>
    </row>
    <row r="274" customFormat="false" ht="15" hidden="false" customHeight="true" outlineLevel="0" collapsed="false">
      <c r="A274" s="11" t="s">
        <v>994</v>
      </c>
      <c r="B274" s="12"/>
      <c r="C274" s="11" t="s">
        <v>52</v>
      </c>
      <c r="D274" s="11" t="s">
        <v>995</v>
      </c>
      <c r="E274" s="11" t="s">
        <v>996</v>
      </c>
      <c r="F274" s="11" t="s">
        <v>977</v>
      </c>
      <c r="G274" s="11" t="n">
        <v>4</v>
      </c>
      <c r="H274" s="11" t="s">
        <v>981</v>
      </c>
      <c r="I274" s="11" t="s">
        <v>982</v>
      </c>
      <c r="J274" s="11" t="n">
        <f aca="false">COUNTIF($H$2:$H$326,A274)</f>
        <v>0</v>
      </c>
      <c r="K274" s="11" t="s">
        <v>63</v>
      </c>
      <c r="L274" s="14"/>
      <c r="M274" s="11" t="s">
        <v>997</v>
      </c>
    </row>
    <row r="275" customFormat="false" ht="15" hidden="false" customHeight="true" outlineLevel="0" collapsed="false">
      <c r="A275" s="11" t="s">
        <v>998</v>
      </c>
      <c r="B275" s="12"/>
      <c r="C275" s="11" t="s">
        <v>52</v>
      </c>
      <c r="D275" s="11" t="s">
        <v>999</v>
      </c>
      <c r="E275" s="11" t="s">
        <v>1000</v>
      </c>
      <c r="F275" s="11" t="s">
        <v>977</v>
      </c>
      <c r="G275" s="11" t="n">
        <v>4</v>
      </c>
      <c r="H275" s="11" t="s">
        <v>981</v>
      </c>
      <c r="I275" s="11" t="s">
        <v>982</v>
      </c>
      <c r="J275" s="11" t="n">
        <f aca="false">COUNTIF($H$2:$H$326,A275)</f>
        <v>0</v>
      </c>
      <c r="K275" s="11" t="s">
        <v>63</v>
      </c>
      <c r="L275" s="14"/>
      <c r="M275" s="11" t="s">
        <v>1001</v>
      </c>
    </row>
    <row r="276" customFormat="false" ht="15" hidden="false" customHeight="true" outlineLevel="0" collapsed="false">
      <c r="A276" s="11" t="s">
        <v>1002</v>
      </c>
      <c r="B276" s="12"/>
      <c r="C276" s="11" t="s">
        <v>52</v>
      </c>
      <c r="D276" s="11" t="s">
        <v>1003</v>
      </c>
      <c r="E276" s="11" t="s">
        <v>100</v>
      </c>
      <c r="F276" s="11" t="s">
        <v>977</v>
      </c>
      <c r="G276" s="11" t="n">
        <v>3</v>
      </c>
      <c r="H276" s="11" t="s">
        <v>979</v>
      </c>
      <c r="I276" s="11" t="s">
        <v>103</v>
      </c>
      <c r="J276" s="11" t="n">
        <f aca="false">COUNTIF($H$2:$H$326,A276)</f>
        <v>3</v>
      </c>
      <c r="K276" s="11" t="s">
        <v>100</v>
      </c>
      <c r="L276" s="13" t="s">
        <v>72</v>
      </c>
      <c r="M276" s="11" t="s">
        <v>1004</v>
      </c>
    </row>
    <row r="277" customFormat="false" ht="15" hidden="false" customHeight="true" outlineLevel="0" collapsed="false">
      <c r="A277" s="11" t="s">
        <v>1005</v>
      </c>
      <c r="B277" s="12"/>
      <c r="C277" s="11" t="s">
        <v>52</v>
      </c>
      <c r="D277" s="11" t="s">
        <v>1006</v>
      </c>
      <c r="E277" s="11" t="s">
        <v>1000</v>
      </c>
      <c r="F277" s="11" t="s">
        <v>977</v>
      </c>
      <c r="G277" s="11" t="n">
        <v>4</v>
      </c>
      <c r="H277" s="11" t="s">
        <v>1002</v>
      </c>
      <c r="I277" s="11" t="s">
        <v>1003</v>
      </c>
      <c r="J277" s="11" t="n">
        <f aca="false">COUNTIF($H$2:$H$326,A277)</f>
        <v>0</v>
      </c>
      <c r="K277" s="11" t="s">
        <v>63</v>
      </c>
      <c r="L277" s="13" t="s">
        <v>72</v>
      </c>
      <c r="M277" s="11" t="s">
        <v>1007</v>
      </c>
    </row>
    <row r="278" customFormat="false" ht="15" hidden="false" customHeight="true" outlineLevel="0" collapsed="false">
      <c r="A278" s="11" t="s">
        <v>1008</v>
      </c>
      <c r="B278" s="12"/>
      <c r="C278" s="11" t="s">
        <v>52</v>
      </c>
      <c r="D278" s="11" t="s">
        <v>1009</v>
      </c>
      <c r="E278" s="11" t="s">
        <v>966</v>
      </c>
      <c r="F278" s="11" t="s">
        <v>977</v>
      </c>
      <c r="G278" s="11" t="n">
        <v>4</v>
      </c>
      <c r="H278" s="11" t="s">
        <v>1002</v>
      </c>
      <c r="I278" s="11" t="s">
        <v>1003</v>
      </c>
      <c r="J278" s="11" t="n">
        <f aca="false">COUNTIF($H$2:$H$326,A278)</f>
        <v>0</v>
      </c>
      <c r="K278" s="11" t="s">
        <v>63</v>
      </c>
      <c r="L278" s="14"/>
      <c r="M278" s="11" t="s">
        <v>1010</v>
      </c>
    </row>
    <row r="279" customFormat="false" ht="15" hidden="false" customHeight="true" outlineLevel="0" collapsed="false">
      <c r="A279" s="11" t="s">
        <v>1011</v>
      </c>
      <c r="B279" s="12"/>
      <c r="C279" s="11" t="s">
        <v>52</v>
      </c>
      <c r="D279" s="11" t="s">
        <v>1012</v>
      </c>
      <c r="E279" s="11" t="s">
        <v>1000</v>
      </c>
      <c r="F279" s="11" t="s">
        <v>977</v>
      </c>
      <c r="G279" s="11" t="n">
        <v>4</v>
      </c>
      <c r="H279" s="11" t="s">
        <v>1002</v>
      </c>
      <c r="I279" s="11" t="s">
        <v>1003</v>
      </c>
      <c r="J279" s="11" t="n">
        <f aca="false">COUNTIF($H$2:$H$326,A279)</f>
        <v>0</v>
      </c>
      <c r="K279" s="11" t="s">
        <v>63</v>
      </c>
      <c r="L279" s="14"/>
      <c r="M279" s="11" t="s">
        <v>1013</v>
      </c>
    </row>
    <row r="280" customFormat="false" ht="15" hidden="false" customHeight="true" outlineLevel="0" collapsed="false">
      <c r="A280" s="11" t="s">
        <v>1014</v>
      </c>
      <c r="B280" s="12"/>
      <c r="C280" s="11" t="s">
        <v>52</v>
      </c>
      <c r="D280" s="11" t="s">
        <v>1015</v>
      </c>
      <c r="E280" s="11" t="s">
        <v>100</v>
      </c>
      <c r="F280" s="11" t="s">
        <v>977</v>
      </c>
      <c r="G280" s="11" t="n">
        <v>3</v>
      </c>
      <c r="H280" s="11" t="s">
        <v>979</v>
      </c>
      <c r="I280" s="11" t="s">
        <v>103</v>
      </c>
      <c r="J280" s="11" t="n">
        <f aca="false">COUNTIF($H$2:$H$326,A280)</f>
        <v>2</v>
      </c>
      <c r="K280" s="11" t="s">
        <v>100</v>
      </c>
      <c r="L280" s="14"/>
      <c r="M280" s="11" t="s">
        <v>1016</v>
      </c>
    </row>
    <row r="281" customFormat="false" ht="15" hidden="false" customHeight="true" outlineLevel="0" collapsed="false">
      <c r="A281" s="11" t="s">
        <v>1017</v>
      </c>
      <c r="B281" s="12"/>
      <c r="C281" s="11" t="s">
        <v>52</v>
      </c>
      <c r="D281" s="11" t="s">
        <v>1018</v>
      </c>
      <c r="E281" s="11" t="s">
        <v>966</v>
      </c>
      <c r="F281" s="11" t="s">
        <v>977</v>
      </c>
      <c r="G281" s="11" t="n">
        <v>4</v>
      </c>
      <c r="H281" s="11" t="s">
        <v>1014</v>
      </c>
      <c r="I281" s="11" t="s">
        <v>1015</v>
      </c>
      <c r="J281" s="11" t="n">
        <f aca="false">COUNTIF($H$2:$H$326,A281)</f>
        <v>0</v>
      </c>
      <c r="K281" s="11" t="s">
        <v>63</v>
      </c>
      <c r="L281" s="14"/>
      <c r="M281" s="11" t="s">
        <v>1019</v>
      </c>
    </row>
    <row r="282" customFormat="false" ht="15" hidden="false" customHeight="true" outlineLevel="0" collapsed="false">
      <c r="A282" s="11" t="s">
        <v>1020</v>
      </c>
      <c r="B282" s="12"/>
      <c r="C282" s="11" t="s">
        <v>52</v>
      </c>
      <c r="D282" s="11" t="s">
        <v>1021</v>
      </c>
      <c r="E282" s="11" t="s">
        <v>966</v>
      </c>
      <c r="F282" s="11" t="s">
        <v>977</v>
      </c>
      <c r="G282" s="11" t="n">
        <v>4</v>
      </c>
      <c r="H282" s="11" t="s">
        <v>1014</v>
      </c>
      <c r="I282" s="11" t="s">
        <v>1015</v>
      </c>
      <c r="J282" s="11" t="n">
        <f aca="false">COUNTIF($H$2:$H$326,A282)</f>
        <v>0</v>
      </c>
      <c r="K282" s="11" t="s">
        <v>63</v>
      </c>
      <c r="L282" s="14"/>
      <c r="M282" s="11" t="s">
        <v>1022</v>
      </c>
    </row>
    <row r="283" customFormat="false" ht="15" hidden="false" customHeight="true" outlineLevel="0" collapsed="false">
      <c r="A283" s="11" t="s">
        <v>1023</v>
      </c>
      <c r="B283" s="12"/>
      <c r="C283" s="11" t="s">
        <v>52</v>
      </c>
      <c r="D283" s="11" t="s">
        <v>610</v>
      </c>
      <c r="E283" s="11" t="s">
        <v>428</v>
      </c>
      <c r="F283" s="11" t="s">
        <v>977</v>
      </c>
      <c r="G283" s="11" t="n">
        <v>2</v>
      </c>
      <c r="H283" s="11" t="s">
        <v>974</v>
      </c>
      <c r="I283" s="11" t="s">
        <v>975</v>
      </c>
      <c r="J283" s="11" t="n">
        <f aca="false">COUNTIF($H$2:$H$326,A283)</f>
        <v>2</v>
      </c>
      <c r="K283" s="11" t="s">
        <v>55</v>
      </c>
      <c r="L283" s="13" t="s">
        <v>105</v>
      </c>
      <c r="M283" s="11" t="s">
        <v>1024</v>
      </c>
    </row>
    <row r="284" customFormat="false" ht="15" hidden="false" customHeight="true" outlineLevel="0" collapsed="false">
      <c r="A284" s="11" t="s">
        <v>1025</v>
      </c>
      <c r="B284" s="12"/>
      <c r="C284" s="11" t="s">
        <v>52</v>
      </c>
      <c r="D284" s="11" t="s">
        <v>951</v>
      </c>
      <c r="E284" s="11" t="s">
        <v>100</v>
      </c>
      <c r="F284" s="11" t="s">
        <v>977</v>
      </c>
      <c r="G284" s="11" t="n">
        <v>3</v>
      </c>
      <c r="H284" s="11" t="s">
        <v>1023</v>
      </c>
      <c r="I284" s="11" t="s">
        <v>610</v>
      </c>
      <c r="J284" s="11" t="n">
        <f aca="false">COUNTIF($H$2:$H$326,A284)</f>
        <v>5</v>
      </c>
      <c r="K284" s="11" t="s">
        <v>100</v>
      </c>
      <c r="L284" s="13" t="s">
        <v>105</v>
      </c>
      <c r="M284" s="11" t="s">
        <v>1026</v>
      </c>
    </row>
    <row r="285" customFormat="false" ht="15" hidden="false" customHeight="true" outlineLevel="0" collapsed="false">
      <c r="A285" s="11" t="s">
        <v>1027</v>
      </c>
      <c r="B285" s="12"/>
      <c r="C285" s="11" t="s">
        <v>52</v>
      </c>
      <c r="D285" s="11" t="s">
        <v>1028</v>
      </c>
      <c r="E285" s="11" t="s">
        <v>966</v>
      </c>
      <c r="F285" s="11" t="s">
        <v>977</v>
      </c>
      <c r="G285" s="11" t="n">
        <v>4</v>
      </c>
      <c r="H285" s="11" t="s">
        <v>1025</v>
      </c>
      <c r="I285" s="11" t="s">
        <v>951</v>
      </c>
      <c r="J285" s="11" t="n">
        <f aca="false">COUNTIF($H$2:$H$326,A285)</f>
        <v>0</v>
      </c>
      <c r="K285" s="11" t="s">
        <v>63</v>
      </c>
      <c r="L285" s="14"/>
      <c r="M285" s="11" t="s">
        <v>1029</v>
      </c>
    </row>
    <row r="286" customFormat="false" ht="15" hidden="false" customHeight="true" outlineLevel="0" collapsed="false">
      <c r="A286" s="11" t="s">
        <v>1030</v>
      </c>
      <c r="B286" s="12"/>
      <c r="C286" s="11" t="s">
        <v>52</v>
      </c>
      <c r="D286" s="11" t="s">
        <v>840</v>
      </c>
      <c r="E286" s="11" t="s">
        <v>966</v>
      </c>
      <c r="F286" s="11" t="s">
        <v>977</v>
      </c>
      <c r="G286" s="11" t="n">
        <v>4</v>
      </c>
      <c r="H286" s="11" t="s">
        <v>1025</v>
      </c>
      <c r="I286" s="11" t="s">
        <v>951</v>
      </c>
      <c r="J286" s="11" t="n">
        <f aca="false">COUNTIF($H$2:$H$326,A286)</f>
        <v>0</v>
      </c>
      <c r="K286" s="11" t="s">
        <v>63</v>
      </c>
      <c r="L286" s="13" t="s">
        <v>105</v>
      </c>
      <c r="M286" s="11" t="s">
        <v>1031</v>
      </c>
    </row>
    <row r="287" customFormat="false" ht="15" hidden="false" customHeight="true" outlineLevel="0" collapsed="false">
      <c r="A287" s="11" t="s">
        <v>1032</v>
      </c>
      <c r="B287" s="12"/>
      <c r="C287" s="11" t="s">
        <v>52</v>
      </c>
      <c r="D287" s="11" t="s">
        <v>1033</v>
      </c>
      <c r="E287" s="11" t="s">
        <v>966</v>
      </c>
      <c r="F287" s="11" t="s">
        <v>977</v>
      </c>
      <c r="G287" s="11" t="n">
        <v>4</v>
      </c>
      <c r="H287" s="11" t="s">
        <v>1025</v>
      </c>
      <c r="I287" s="11" t="s">
        <v>951</v>
      </c>
      <c r="J287" s="11" t="n">
        <f aca="false">COUNTIF($H$2:$H$326,A287)</f>
        <v>0</v>
      </c>
      <c r="K287" s="11" t="s">
        <v>63</v>
      </c>
      <c r="L287" s="14"/>
      <c r="M287" s="11" t="s">
        <v>1034</v>
      </c>
    </row>
    <row r="288" customFormat="false" ht="15" hidden="false" customHeight="true" outlineLevel="0" collapsed="false">
      <c r="A288" s="11" t="s">
        <v>1035</v>
      </c>
      <c r="B288" s="12"/>
      <c r="C288" s="11" t="s">
        <v>52</v>
      </c>
      <c r="D288" s="11" t="s">
        <v>1036</v>
      </c>
      <c r="E288" s="11" t="s">
        <v>966</v>
      </c>
      <c r="F288" s="11" t="s">
        <v>977</v>
      </c>
      <c r="G288" s="11" t="n">
        <v>4</v>
      </c>
      <c r="H288" s="11" t="s">
        <v>1025</v>
      </c>
      <c r="I288" s="11" t="s">
        <v>951</v>
      </c>
      <c r="J288" s="11" t="n">
        <f aca="false">COUNTIF($H$2:$H$326,A288)</f>
        <v>0</v>
      </c>
      <c r="K288" s="11" t="s">
        <v>63</v>
      </c>
      <c r="L288" s="14"/>
      <c r="M288" s="11" t="s">
        <v>1037</v>
      </c>
    </row>
    <row r="289" customFormat="false" ht="15" hidden="false" customHeight="true" outlineLevel="0" collapsed="false">
      <c r="A289" s="11" t="s">
        <v>1038</v>
      </c>
      <c r="B289" s="12"/>
      <c r="C289" s="11" t="s">
        <v>52</v>
      </c>
      <c r="D289" s="11" t="s">
        <v>1039</v>
      </c>
      <c r="E289" s="11" t="s">
        <v>966</v>
      </c>
      <c r="F289" s="11" t="s">
        <v>977</v>
      </c>
      <c r="G289" s="11" t="n">
        <v>4</v>
      </c>
      <c r="H289" s="11" t="s">
        <v>1025</v>
      </c>
      <c r="I289" s="11" t="s">
        <v>951</v>
      </c>
      <c r="J289" s="11" t="n">
        <f aca="false">COUNTIF($H$2:$H$326,A289)</f>
        <v>0</v>
      </c>
      <c r="K289" s="11" t="s">
        <v>63</v>
      </c>
      <c r="L289" s="14"/>
      <c r="M289" s="11" t="s">
        <v>1040</v>
      </c>
    </row>
    <row r="290" customFormat="false" ht="15" hidden="false" customHeight="true" outlineLevel="0" collapsed="false">
      <c r="A290" s="11" t="s">
        <v>1041</v>
      </c>
      <c r="B290" s="12"/>
      <c r="C290" s="11" t="s">
        <v>52</v>
      </c>
      <c r="D290" s="11" t="s">
        <v>1042</v>
      </c>
      <c r="E290" s="11" t="s">
        <v>100</v>
      </c>
      <c r="F290" s="11" t="s">
        <v>977</v>
      </c>
      <c r="G290" s="11" t="n">
        <v>3</v>
      </c>
      <c r="H290" s="11" t="s">
        <v>1023</v>
      </c>
      <c r="I290" s="11" t="s">
        <v>610</v>
      </c>
      <c r="J290" s="11" t="n">
        <f aca="false">COUNTIF($H$2:$H$326,A290)</f>
        <v>5</v>
      </c>
      <c r="K290" s="11" t="s">
        <v>100</v>
      </c>
      <c r="L290" s="14"/>
      <c r="M290" s="11" t="s">
        <v>1043</v>
      </c>
    </row>
    <row r="291" customFormat="false" ht="15" hidden="false" customHeight="true" outlineLevel="0" collapsed="false">
      <c r="A291" s="11" t="s">
        <v>1044</v>
      </c>
      <c r="B291" s="12"/>
      <c r="C291" s="11" t="s">
        <v>52</v>
      </c>
      <c r="D291" s="11" t="s">
        <v>1045</v>
      </c>
      <c r="E291" s="11" t="s">
        <v>966</v>
      </c>
      <c r="F291" s="11" t="s">
        <v>977</v>
      </c>
      <c r="G291" s="11" t="n">
        <v>4</v>
      </c>
      <c r="H291" s="11" t="s">
        <v>1041</v>
      </c>
      <c r="I291" s="11" t="s">
        <v>1042</v>
      </c>
      <c r="J291" s="11" t="n">
        <f aca="false">COUNTIF($H$2:$H$326,A291)</f>
        <v>0</v>
      </c>
      <c r="K291" s="11" t="s">
        <v>63</v>
      </c>
      <c r="L291" s="13" t="s">
        <v>72</v>
      </c>
      <c r="M291" s="11" t="s">
        <v>1046</v>
      </c>
    </row>
    <row r="292" customFormat="false" ht="15" hidden="false" customHeight="true" outlineLevel="0" collapsed="false">
      <c r="A292" s="11" t="s">
        <v>1047</v>
      </c>
      <c r="B292" s="12"/>
      <c r="C292" s="11" t="s">
        <v>52</v>
      </c>
      <c r="D292" s="11" t="s">
        <v>1048</v>
      </c>
      <c r="E292" s="11" t="s">
        <v>966</v>
      </c>
      <c r="F292" s="11" t="s">
        <v>977</v>
      </c>
      <c r="G292" s="11" t="n">
        <v>4</v>
      </c>
      <c r="H292" s="11" t="s">
        <v>1041</v>
      </c>
      <c r="I292" s="11" t="s">
        <v>1042</v>
      </c>
      <c r="J292" s="11" t="n">
        <f aca="false">COUNTIF($H$2:$H$326,A292)</f>
        <v>0</v>
      </c>
      <c r="K292" s="11" t="s">
        <v>63</v>
      </c>
      <c r="L292" s="14"/>
      <c r="M292" s="11" t="s">
        <v>1049</v>
      </c>
    </row>
    <row r="293" customFormat="false" ht="15" hidden="false" customHeight="true" outlineLevel="0" collapsed="false">
      <c r="A293" s="11" t="s">
        <v>1050</v>
      </c>
      <c r="B293" s="12"/>
      <c r="C293" s="11" t="s">
        <v>52</v>
      </c>
      <c r="D293" s="11" t="s">
        <v>1051</v>
      </c>
      <c r="E293" s="11" t="s">
        <v>966</v>
      </c>
      <c r="F293" s="11" t="s">
        <v>977</v>
      </c>
      <c r="G293" s="11" t="n">
        <v>4</v>
      </c>
      <c r="H293" s="11" t="s">
        <v>1041</v>
      </c>
      <c r="I293" s="11" t="s">
        <v>1042</v>
      </c>
      <c r="J293" s="11" t="n">
        <f aca="false">COUNTIF($H$2:$H$326,A293)</f>
        <v>0</v>
      </c>
      <c r="K293" s="11" t="s">
        <v>63</v>
      </c>
      <c r="L293" s="14"/>
      <c r="M293" s="11" t="s">
        <v>1052</v>
      </c>
    </row>
    <row r="294" customFormat="false" ht="15" hidden="false" customHeight="true" outlineLevel="0" collapsed="false">
      <c r="A294" s="11" t="s">
        <v>1053</v>
      </c>
      <c r="B294" s="12"/>
      <c r="C294" s="11" t="s">
        <v>52</v>
      </c>
      <c r="D294" s="11" t="s">
        <v>1054</v>
      </c>
      <c r="E294" s="11" t="s">
        <v>1000</v>
      </c>
      <c r="F294" s="11" t="s">
        <v>977</v>
      </c>
      <c r="G294" s="11" t="n">
        <v>4</v>
      </c>
      <c r="H294" s="11" t="s">
        <v>1041</v>
      </c>
      <c r="I294" s="11" t="s">
        <v>1042</v>
      </c>
      <c r="J294" s="11" t="n">
        <f aca="false">COUNTIF($H$2:$H$326,A294)</f>
        <v>0</v>
      </c>
      <c r="K294" s="11" t="s">
        <v>63</v>
      </c>
      <c r="L294" s="14"/>
      <c r="M294" s="11" t="s">
        <v>1055</v>
      </c>
    </row>
    <row r="295" customFormat="false" ht="15" hidden="false" customHeight="true" outlineLevel="0" collapsed="false">
      <c r="A295" s="11" t="s">
        <v>1056</v>
      </c>
      <c r="B295" s="12"/>
      <c r="C295" s="11" t="s">
        <v>52</v>
      </c>
      <c r="D295" s="11" t="s">
        <v>1057</v>
      </c>
      <c r="E295" s="11" t="s">
        <v>966</v>
      </c>
      <c r="F295" s="11" t="s">
        <v>977</v>
      </c>
      <c r="G295" s="11" t="n">
        <v>4</v>
      </c>
      <c r="H295" s="11" t="s">
        <v>1041</v>
      </c>
      <c r="I295" s="11" t="s">
        <v>1042</v>
      </c>
      <c r="J295" s="11" t="n">
        <f aca="false">COUNTIF($H$2:$H$326,A295)</f>
        <v>0</v>
      </c>
      <c r="K295" s="11" t="s">
        <v>63</v>
      </c>
      <c r="L295" s="14"/>
      <c r="M295" s="11" t="s">
        <v>1058</v>
      </c>
    </row>
    <row r="296" customFormat="false" ht="15" hidden="false" customHeight="true" outlineLevel="0" collapsed="false">
      <c r="A296" s="11" t="s">
        <v>1059</v>
      </c>
      <c r="B296" s="12"/>
      <c r="C296" s="11" t="s">
        <v>52</v>
      </c>
      <c r="D296" s="11" t="s">
        <v>1060</v>
      </c>
      <c r="E296" s="11" t="s">
        <v>1061</v>
      </c>
      <c r="F296" s="11" t="s">
        <v>977</v>
      </c>
      <c r="G296" s="11" t="n">
        <v>2</v>
      </c>
      <c r="H296" s="11" t="s">
        <v>974</v>
      </c>
      <c r="I296" s="11" t="s">
        <v>975</v>
      </c>
      <c r="J296" s="11" t="n">
        <f aca="false">COUNTIF($H$2:$H$326,A296)</f>
        <v>1</v>
      </c>
      <c r="K296" s="11" t="s">
        <v>55</v>
      </c>
      <c r="L296" s="14"/>
      <c r="M296" s="11" t="s">
        <v>1062</v>
      </c>
    </row>
    <row r="297" customFormat="false" ht="15" hidden="false" customHeight="true" outlineLevel="0" collapsed="false">
      <c r="A297" s="11" t="s">
        <v>1063</v>
      </c>
      <c r="B297" s="12"/>
      <c r="C297" s="11" t="s">
        <v>52</v>
      </c>
      <c r="D297" s="11" t="s">
        <v>1064</v>
      </c>
      <c r="E297" s="11" t="s">
        <v>1065</v>
      </c>
      <c r="F297" s="11" t="s">
        <v>977</v>
      </c>
      <c r="G297" s="11" t="n">
        <v>3</v>
      </c>
      <c r="H297" s="11" t="s">
        <v>1059</v>
      </c>
      <c r="I297" s="11" t="s">
        <v>1060</v>
      </c>
      <c r="J297" s="11" t="n">
        <f aca="false">COUNTIF($H$2:$H$326,A297)</f>
        <v>0</v>
      </c>
      <c r="K297" s="11" t="s">
        <v>63</v>
      </c>
      <c r="L297" s="14"/>
      <c r="M297" s="11" t="s">
        <v>1066</v>
      </c>
    </row>
    <row r="298" customFormat="false" ht="15" hidden="false" customHeight="true" outlineLevel="0" collapsed="false">
      <c r="A298" s="11" t="s">
        <v>1067</v>
      </c>
      <c r="B298" s="12"/>
      <c r="C298" s="11" t="s">
        <v>52</v>
      </c>
      <c r="D298" s="11" t="s">
        <v>1068</v>
      </c>
      <c r="E298" s="11" t="s">
        <v>1069</v>
      </c>
      <c r="F298" s="11" t="s">
        <v>977</v>
      </c>
      <c r="G298" s="11" t="n">
        <v>2</v>
      </c>
      <c r="H298" s="11" t="s">
        <v>974</v>
      </c>
      <c r="I298" s="11" t="s">
        <v>975</v>
      </c>
      <c r="J298" s="11" t="n">
        <f aca="false">COUNTIF($H$2:$H$326,A298)</f>
        <v>2</v>
      </c>
      <c r="K298" s="11" t="s">
        <v>55</v>
      </c>
      <c r="L298" s="14"/>
      <c r="M298" s="11" t="s">
        <v>1070</v>
      </c>
    </row>
    <row r="299" customFormat="false" ht="15" hidden="false" customHeight="true" outlineLevel="0" collapsed="false">
      <c r="A299" s="11" t="s">
        <v>1071</v>
      </c>
      <c r="B299" s="12"/>
      <c r="C299" s="11" t="s">
        <v>52</v>
      </c>
      <c r="D299" s="11" t="s">
        <v>1072</v>
      </c>
      <c r="E299" s="11" t="s">
        <v>966</v>
      </c>
      <c r="F299" s="11" t="s">
        <v>977</v>
      </c>
      <c r="G299" s="11" t="n">
        <v>3</v>
      </c>
      <c r="H299" s="11" t="s">
        <v>1067</v>
      </c>
      <c r="I299" s="11" t="s">
        <v>1068</v>
      </c>
      <c r="J299" s="11" t="n">
        <f aca="false">COUNTIF($H$2:$H$326,A299)</f>
        <v>0</v>
      </c>
      <c r="K299" s="11" t="s">
        <v>63</v>
      </c>
      <c r="L299" s="14"/>
      <c r="M299" s="11" t="s">
        <v>1073</v>
      </c>
    </row>
    <row r="300" customFormat="false" ht="15" hidden="false" customHeight="true" outlineLevel="0" collapsed="false">
      <c r="A300" s="11" t="s">
        <v>1074</v>
      </c>
      <c r="B300" s="12"/>
      <c r="C300" s="11" t="s">
        <v>52</v>
      </c>
      <c r="D300" s="11" t="s">
        <v>1075</v>
      </c>
      <c r="E300" s="11" t="s">
        <v>966</v>
      </c>
      <c r="F300" s="11" t="s">
        <v>977</v>
      </c>
      <c r="G300" s="11" t="n">
        <v>3</v>
      </c>
      <c r="H300" s="11" t="s">
        <v>1067</v>
      </c>
      <c r="I300" s="11" t="s">
        <v>1068</v>
      </c>
      <c r="J300" s="11" t="n">
        <f aca="false">COUNTIF($H$2:$H$326,A300)</f>
        <v>0</v>
      </c>
      <c r="K300" s="11" t="s">
        <v>63</v>
      </c>
      <c r="L300" s="14"/>
      <c r="M300" s="11" t="s">
        <v>1076</v>
      </c>
    </row>
    <row r="301" customFormat="false" ht="15" hidden="false" customHeight="true" outlineLevel="0" collapsed="false">
      <c r="A301" s="11" t="s">
        <v>1077</v>
      </c>
      <c r="B301" s="12"/>
      <c r="C301" s="11" t="s">
        <v>52</v>
      </c>
      <c r="D301" s="11" t="s">
        <v>1078</v>
      </c>
      <c r="E301" s="11" t="s">
        <v>1079</v>
      </c>
      <c r="F301" s="11" t="s">
        <v>977</v>
      </c>
      <c r="G301" s="11" t="n">
        <v>2</v>
      </c>
      <c r="H301" s="11" t="s">
        <v>974</v>
      </c>
      <c r="I301" s="11" t="s">
        <v>975</v>
      </c>
      <c r="J301" s="11" t="n">
        <f aca="false">COUNTIF($H$2:$H$326,A301)</f>
        <v>1</v>
      </c>
      <c r="K301" s="11" t="s">
        <v>55</v>
      </c>
      <c r="L301" s="14"/>
      <c r="M301" s="11" t="s">
        <v>1080</v>
      </c>
    </row>
    <row r="302" customFormat="false" ht="15" hidden="false" customHeight="true" outlineLevel="0" collapsed="false">
      <c r="A302" s="11" t="s">
        <v>1081</v>
      </c>
      <c r="B302" s="12"/>
      <c r="C302" s="11" t="s">
        <v>52</v>
      </c>
      <c r="D302" s="11" t="s">
        <v>1082</v>
      </c>
      <c r="E302" s="11" t="s">
        <v>966</v>
      </c>
      <c r="F302" s="11" t="s">
        <v>977</v>
      </c>
      <c r="G302" s="11" t="n">
        <v>3</v>
      </c>
      <c r="H302" s="11" t="s">
        <v>1077</v>
      </c>
      <c r="I302" s="11" t="s">
        <v>1078</v>
      </c>
      <c r="J302" s="11" t="n">
        <f aca="false">COUNTIF($H$2:$H$326,A302)</f>
        <v>0</v>
      </c>
      <c r="K302" s="11" t="s">
        <v>63</v>
      </c>
      <c r="L302" s="14"/>
      <c r="M302" s="11" t="s">
        <v>1083</v>
      </c>
    </row>
    <row r="303" customFormat="false" ht="15" hidden="false" customHeight="true" outlineLevel="0" collapsed="false">
      <c r="A303" s="11" t="s">
        <v>1084</v>
      </c>
      <c r="B303" s="12"/>
      <c r="C303" s="11" t="s">
        <v>52</v>
      </c>
      <c r="D303" s="11" t="s">
        <v>1085</v>
      </c>
      <c r="E303" s="11" t="s">
        <v>273</v>
      </c>
      <c r="F303" s="11" t="s">
        <v>977</v>
      </c>
      <c r="G303" s="11" t="n">
        <v>2</v>
      </c>
      <c r="H303" s="11" t="s">
        <v>974</v>
      </c>
      <c r="I303" s="11" t="s">
        <v>975</v>
      </c>
      <c r="J303" s="11" t="n">
        <f aca="false">COUNTIF($H$2:$H$326,A303)</f>
        <v>0</v>
      </c>
      <c r="K303" s="11" t="s">
        <v>63</v>
      </c>
      <c r="L303" s="14"/>
      <c r="M303" s="11" t="s">
        <v>1086</v>
      </c>
    </row>
    <row r="304" customFormat="false" ht="15" hidden="false" customHeight="true" outlineLevel="0" collapsed="false">
      <c r="A304" s="11" t="s">
        <v>1087</v>
      </c>
      <c r="B304" s="12"/>
      <c r="C304" s="11" t="s">
        <v>52</v>
      </c>
      <c r="D304" s="11" t="s">
        <v>1088</v>
      </c>
      <c r="E304" s="11" t="s">
        <v>273</v>
      </c>
      <c r="F304" s="11" t="s">
        <v>977</v>
      </c>
      <c r="G304" s="11" t="n">
        <v>2</v>
      </c>
      <c r="H304" s="11" t="s">
        <v>974</v>
      </c>
      <c r="I304" s="11" t="s">
        <v>975</v>
      </c>
      <c r="J304" s="11" t="n">
        <f aca="false">COUNTIF($H$2:$H$326,A304)</f>
        <v>0</v>
      </c>
      <c r="K304" s="11" t="s">
        <v>63</v>
      </c>
      <c r="L304" s="14"/>
      <c r="M304" s="11" t="s">
        <v>1089</v>
      </c>
    </row>
    <row r="305" customFormat="false" ht="15" hidden="false" customHeight="true" outlineLevel="0" collapsed="false">
      <c r="A305" s="11" t="s">
        <v>1090</v>
      </c>
      <c r="B305" s="12"/>
      <c r="C305" s="11" t="s">
        <v>52</v>
      </c>
      <c r="D305" s="11" t="s">
        <v>1091</v>
      </c>
      <c r="E305" s="11" t="s">
        <v>1092</v>
      </c>
      <c r="F305" s="11" t="s">
        <v>1093</v>
      </c>
      <c r="G305" s="11" t="n">
        <v>1</v>
      </c>
      <c r="H305" s="11"/>
      <c r="I305" s="11"/>
      <c r="J305" s="11" t="n">
        <f aca="false">COUNTIF($H$2:$H$326,A305)</f>
        <v>4</v>
      </c>
      <c r="K305" s="11" t="s">
        <v>348</v>
      </c>
      <c r="L305" s="14"/>
      <c r="M305" s="11" t="s">
        <v>1094</v>
      </c>
    </row>
    <row r="306" customFormat="false" ht="15" hidden="false" customHeight="true" outlineLevel="0" collapsed="false">
      <c r="A306" s="11" t="s">
        <v>1095</v>
      </c>
      <c r="B306" s="12"/>
      <c r="C306" s="11" t="s">
        <v>52</v>
      </c>
      <c r="D306" s="11" t="s">
        <v>1096</v>
      </c>
      <c r="E306" s="11" t="s">
        <v>1097</v>
      </c>
      <c r="F306" s="11" t="s">
        <v>1093</v>
      </c>
      <c r="G306" s="11" t="n">
        <v>2</v>
      </c>
      <c r="H306" s="11" t="s">
        <v>1090</v>
      </c>
      <c r="I306" s="11" t="s">
        <v>1091</v>
      </c>
      <c r="J306" s="11" t="n">
        <f aca="false">COUNTIF($H$2:$H$326,A306)</f>
        <v>0</v>
      </c>
      <c r="K306" s="11" t="s">
        <v>63</v>
      </c>
      <c r="L306" s="14"/>
      <c r="M306" s="11" t="s">
        <v>1098</v>
      </c>
    </row>
    <row r="307" customFormat="false" ht="15" hidden="false" customHeight="true" outlineLevel="0" collapsed="false">
      <c r="A307" s="11" t="s">
        <v>1099</v>
      </c>
      <c r="B307" s="12"/>
      <c r="C307" s="11" t="s">
        <v>52</v>
      </c>
      <c r="D307" s="11" t="s">
        <v>322</v>
      </c>
      <c r="E307" s="11" t="s">
        <v>1100</v>
      </c>
      <c r="F307" s="11" t="s">
        <v>1093</v>
      </c>
      <c r="G307" s="11" t="n">
        <v>2</v>
      </c>
      <c r="H307" s="11" t="s">
        <v>1090</v>
      </c>
      <c r="I307" s="11" t="s">
        <v>1091</v>
      </c>
      <c r="J307" s="11" t="n">
        <f aca="false">COUNTIF($H$2:$H$326,A307)</f>
        <v>0</v>
      </c>
      <c r="K307" s="11" t="s">
        <v>63</v>
      </c>
      <c r="L307" s="13" t="s">
        <v>105</v>
      </c>
      <c r="M307" s="11" t="s">
        <v>1101</v>
      </c>
    </row>
    <row r="308" customFormat="false" ht="15" hidden="false" customHeight="true" outlineLevel="0" collapsed="false">
      <c r="A308" s="11" t="s">
        <v>1102</v>
      </c>
      <c r="B308" s="12"/>
      <c r="C308" s="11" t="s">
        <v>52</v>
      </c>
      <c r="D308" s="11" t="s">
        <v>1103</v>
      </c>
      <c r="E308" s="11" t="s">
        <v>1104</v>
      </c>
      <c r="F308" s="11" t="s">
        <v>1093</v>
      </c>
      <c r="G308" s="11" t="n">
        <v>2</v>
      </c>
      <c r="H308" s="11" t="s">
        <v>1090</v>
      </c>
      <c r="I308" s="11" t="s">
        <v>1091</v>
      </c>
      <c r="J308" s="11" t="n">
        <f aca="false">COUNTIF($H$2:$H$326,A308)</f>
        <v>0</v>
      </c>
      <c r="K308" s="11" t="s">
        <v>63</v>
      </c>
      <c r="L308" s="13" t="s">
        <v>72</v>
      </c>
      <c r="M308" s="11" t="s">
        <v>1105</v>
      </c>
    </row>
    <row r="309" customFormat="false" ht="15" hidden="false" customHeight="true" outlineLevel="0" collapsed="false">
      <c r="A309" s="11" t="s">
        <v>1106</v>
      </c>
      <c r="B309" s="12"/>
      <c r="C309" s="11" t="s">
        <v>52</v>
      </c>
      <c r="D309" s="11" t="s">
        <v>1107</v>
      </c>
      <c r="E309" s="11" t="s">
        <v>1108</v>
      </c>
      <c r="F309" s="11" t="s">
        <v>1093</v>
      </c>
      <c r="G309" s="11" t="n">
        <v>2</v>
      </c>
      <c r="H309" s="11" t="s">
        <v>1090</v>
      </c>
      <c r="I309" s="11" t="s">
        <v>1091</v>
      </c>
      <c r="J309" s="11" t="n">
        <f aca="false">COUNTIF($H$2:$H$326,A309)</f>
        <v>3</v>
      </c>
      <c r="K309" s="11" t="s">
        <v>55</v>
      </c>
      <c r="L309" s="14"/>
      <c r="M309" s="11" t="s">
        <v>1109</v>
      </c>
    </row>
    <row r="310" customFormat="false" ht="15" hidden="false" customHeight="true" outlineLevel="0" collapsed="false">
      <c r="A310" s="11" t="s">
        <v>1110</v>
      </c>
      <c r="B310" s="12"/>
      <c r="C310" s="11" t="s">
        <v>52</v>
      </c>
      <c r="D310" s="11" t="s">
        <v>1111</v>
      </c>
      <c r="E310" s="11" t="s">
        <v>1112</v>
      </c>
      <c r="F310" s="11" t="s">
        <v>1093</v>
      </c>
      <c r="G310" s="11" t="n">
        <v>3</v>
      </c>
      <c r="H310" s="11" t="s">
        <v>1106</v>
      </c>
      <c r="I310" s="11" t="s">
        <v>1107</v>
      </c>
      <c r="J310" s="11" t="n">
        <f aca="false">COUNTIF($H$2:$H$326,A310)</f>
        <v>0</v>
      </c>
      <c r="K310" s="11" t="s">
        <v>63</v>
      </c>
      <c r="L310" s="13" t="s">
        <v>72</v>
      </c>
      <c r="M310" s="11" t="s">
        <v>1113</v>
      </c>
    </row>
    <row r="311" customFormat="false" ht="15" hidden="false" customHeight="true" outlineLevel="0" collapsed="false">
      <c r="A311" s="11" t="s">
        <v>1114</v>
      </c>
      <c r="B311" s="12"/>
      <c r="C311" s="11" t="s">
        <v>52</v>
      </c>
      <c r="D311" s="11" t="s">
        <v>1115</v>
      </c>
      <c r="E311" s="11" t="s">
        <v>1116</v>
      </c>
      <c r="F311" s="11" t="s">
        <v>1093</v>
      </c>
      <c r="G311" s="11" t="n">
        <v>3</v>
      </c>
      <c r="H311" s="11" t="s">
        <v>1106</v>
      </c>
      <c r="I311" s="11" t="s">
        <v>1107</v>
      </c>
      <c r="J311" s="11" t="n">
        <f aca="false">COUNTIF($H$2:$H$326,A311)</f>
        <v>0</v>
      </c>
      <c r="K311" s="11" t="s">
        <v>63</v>
      </c>
      <c r="L311" s="14"/>
      <c r="M311" s="11" t="s">
        <v>1117</v>
      </c>
    </row>
    <row r="312" customFormat="false" ht="15" hidden="false" customHeight="true" outlineLevel="0" collapsed="false">
      <c r="A312" s="11" t="s">
        <v>1118</v>
      </c>
      <c r="B312" s="12"/>
      <c r="C312" s="11" t="s">
        <v>52</v>
      </c>
      <c r="D312" s="11" t="s">
        <v>1119</v>
      </c>
      <c r="E312" s="11" t="s">
        <v>1112</v>
      </c>
      <c r="F312" s="11" t="s">
        <v>1093</v>
      </c>
      <c r="G312" s="11" t="n">
        <v>3</v>
      </c>
      <c r="H312" s="11" t="s">
        <v>1106</v>
      </c>
      <c r="I312" s="11" t="s">
        <v>1107</v>
      </c>
      <c r="J312" s="11" t="n">
        <f aca="false">COUNTIF($H$2:$H$326,A312)</f>
        <v>0</v>
      </c>
      <c r="K312" s="11" t="s">
        <v>63</v>
      </c>
      <c r="L312" s="14"/>
      <c r="M312" s="11" t="s">
        <v>1120</v>
      </c>
    </row>
    <row r="313" customFormat="false" ht="15" hidden="false" customHeight="true" outlineLevel="0" collapsed="false">
      <c r="A313" s="11" t="s">
        <v>1121</v>
      </c>
      <c r="B313" s="12"/>
      <c r="C313" s="11" t="s">
        <v>45</v>
      </c>
      <c r="D313" s="11" t="s">
        <v>46</v>
      </c>
      <c r="E313" s="11" t="s">
        <v>1122</v>
      </c>
      <c r="F313" s="11" t="s">
        <v>1123</v>
      </c>
      <c r="G313" s="11" t="n">
        <v>1</v>
      </c>
      <c r="H313" s="11"/>
      <c r="I313" s="11"/>
      <c r="J313" s="11" t="n">
        <f aca="false">COUNTIF($H$2:$H$326,A313)</f>
        <v>2</v>
      </c>
      <c r="K313" s="11" t="s">
        <v>49</v>
      </c>
      <c r="L313" s="13" t="s">
        <v>50</v>
      </c>
      <c r="M313" s="11" t="s">
        <v>1122</v>
      </c>
    </row>
    <row r="314" customFormat="false" ht="15" hidden="false" customHeight="true" outlineLevel="0" collapsed="false">
      <c r="A314" s="11" t="s">
        <v>1124</v>
      </c>
      <c r="B314" s="12"/>
      <c r="C314" s="11" t="s">
        <v>52</v>
      </c>
      <c r="D314" s="11" t="s">
        <v>1125</v>
      </c>
      <c r="E314" s="11" t="s">
        <v>1126</v>
      </c>
      <c r="F314" s="11" t="s">
        <v>1123</v>
      </c>
      <c r="G314" s="11" t="n">
        <v>2</v>
      </c>
      <c r="H314" s="11" t="s">
        <v>1121</v>
      </c>
      <c r="I314" s="11" t="s">
        <v>1122</v>
      </c>
      <c r="J314" s="11" t="n">
        <f aca="false">COUNTIF($H$2:$H$326,A314)</f>
        <v>2</v>
      </c>
      <c r="K314" s="11" t="s">
        <v>55</v>
      </c>
      <c r="L314" s="13" t="s">
        <v>161</v>
      </c>
      <c r="M314" s="11" t="s">
        <v>1127</v>
      </c>
    </row>
    <row r="315" customFormat="false" ht="15" hidden="false" customHeight="true" outlineLevel="0" collapsed="false">
      <c r="A315" s="11" t="s">
        <v>1128</v>
      </c>
      <c r="B315" s="12"/>
      <c r="C315" s="11" t="s">
        <v>52</v>
      </c>
      <c r="D315" s="11" t="s">
        <v>1129</v>
      </c>
      <c r="E315" s="11" t="s">
        <v>1130</v>
      </c>
      <c r="F315" s="11" t="s">
        <v>1123</v>
      </c>
      <c r="G315" s="11" t="n">
        <v>3</v>
      </c>
      <c r="H315" s="11" t="s">
        <v>1124</v>
      </c>
      <c r="I315" s="11" t="s">
        <v>1125</v>
      </c>
      <c r="J315" s="11" t="n">
        <f aca="false">COUNTIF($H$2:$H$326,A315)</f>
        <v>0</v>
      </c>
      <c r="K315" s="11" t="s">
        <v>63</v>
      </c>
      <c r="L315" s="14"/>
      <c r="M315" s="11" t="s">
        <v>1131</v>
      </c>
    </row>
    <row r="316" customFormat="false" ht="15" hidden="false" customHeight="true" outlineLevel="0" collapsed="false">
      <c r="A316" s="11" t="s">
        <v>1132</v>
      </c>
      <c r="B316" s="12"/>
      <c r="C316" s="11" t="s">
        <v>52</v>
      </c>
      <c r="D316" s="11" t="s">
        <v>1133</v>
      </c>
      <c r="E316" s="11" t="s">
        <v>1134</v>
      </c>
      <c r="F316" s="11" t="s">
        <v>1123</v>
      </c>
      <c r="G316" s="11" t="n">
        <v>3</v>
      </c>
      <c r="H316" s="11" t="s">
        <v>1124</v>
      </c>
      <c r="I316" s="11" t="s">
        <v>1125</v>
      </c>
      <c r="J316" s="11" t="n">
        <f aca="false">COUNTIF($H$2:$H$326,A316)</f>
        <v>0</v>
      </c>
      <c r="K316" s="11" t="s">
        <v>63</v>
      </c>
      <c r="L316" s="14"/>
      <c r="M316" s="11" t="s">
        <v>1135</v>
      </c>
    </row>
    <row r="317" customFormat="false" ht="15" hidden="false" customHeight="true" outlineLevel="0" collapsed="false">
      <c r="A317" s="11" t="s">
        <v>1136</v>
      </c>
      <c r="B317" s="12"/>
      <c r="C317" s="11" t="s">
        <v>52</v>
      </c>
      <c r="D317" s="11" t="s">
        <v>1137</v>
      </c>
      <c r="E317" s="11" t="s">
        <v>1138</v>
      </c>
      <c r="F317" s="11" t="s">
        <v>1123</v>
      </c>
      <c r="G317" s="11" t="n">
        <v>2</v>
      </c>
      <c r="H317" s="11" t="s">
        <v>1121</v>
      </c>
      <c r="I317" s="11" t="s">
        <v>1122</v>
      </c>
      <c r="J317" s="11" t="n">
        <f aca="false">COUNTIF($H$2:$H$326,A317)</f>
        <v>0</v>
      </c>
      <c r="K317" s="11" t="s">
        <v>63</v>
      </c>
      <c r="L317" s="14"/>
      <c r="M317" s="11" t="s">
        <v>1139</v>
      </c>
    </row>
    <row r="318" customFormat="false" ht="15" hidden="false" customHeight="true" outlineLevel="0" collapsed="false">
      <c r="A318" s="11" t="s">
        <v>1140</v>
      </c>
      <c r="B318" s="12"/>
      <c r="C318" s="11" t="s">
        <v>52</v>
      </c>
      <c r="D318" s="11" t="s">
        <v>1141</v>
      </c>
      <c r="E318" s="11" t="s">
        <v>1142</v>
      </c>
      <c r="F318" s="11" t="s">
        <v>1143</v>
      </c>
      <c r="G318" s="11" t="n">
        <v>1</v>
      </c>
      <c r="H318" s="11"/>
      <c r="I318" s="11"/>
      <c r="J318" s="11" t="n">
        <f aca="false">COUNTIF($H$2:$H$326,A318)</f>
        <v>3</v>
      </c>
      <c r="K318" s="11" t="s">
        <v>348</v>
      </c>
      <c r="L318" s="14"/>
      <c r="M318" s="11" t="s">
        <v>1144</v>
      </c>
    </row>
    <row r="319" customFormat="false" ht="15" hidden="false" customHeight="true" outlineLevel="0" collapsed="false">
      <c r="A319" s="11" t="s">
        <v>1145</v>
      </c>
      <c r="B319" s="12"/>
      <c r="C319" s="11" t="s">
        <v>52</v>
      </c>
      <c r="D319" s="11" t="s">
        <v>1146</v>
      </c>
      <c r="E319" s="11" t="s">
        <v>1147</v>
      </c>
      <c r="F319" s="11" t="s">
        <v>1143</v>
      </c>
      <c r="G319" s="11" t="n">
        <v>2</v>
      </c>
      <c r="H319" s="11" t="s">
        <v>1140</v>
      </c>
      <c r="I319" s="11" t="s">
        <v>1141</v>
      </c>
      <c r="J319" s="11" t="n">
        <f aca="false">COUNTIF($H$2:$H$326,A319)</f>
        <v>2</v>
      </c>
      <c r="K319" s="11" t="s">
        <v>55</v>
      </c>
      <c r="L319" s="14"/>
      <c r="M319" s="11" t="s">
        <v>1148</v>
      </c>
    </row>
    <row r="320" customFormat="false" ht="15" hidden="false" customHeight="true" outlineLevel="0" collapsed="false">
      <c r="A320" s="11" t="s">
        <v>1149</v>
      </c>
      <c r="B320" s="12"/>
      <c r="C320" s="11" t="s">
        <v>52</v>
      </c>
      <c r="D320" s="11" t="s">
        <v>1150</v>
      </c>
      <c r="E320" s="11" t="s">
        <v>1151</v>
      </c>
      <c r="F320" s="11" t="s">
        <v>1143</v>
      </c>
      <c r="G320" s="11" t="n">
        <v>3</v>
      </c>
      <c r="H320" s="11" t="s">
        <v>1145</v>
      </c>
      <c r="I320" s="11" t="s">
        <v>1146</v>
      </c>
      <c r="J320" s="11" t="n">
        <f aca="false">COUNTIF($H$2:$H$326,A320)</f>
        <v>0</v>
      </c>
      <c r="K320" s="11" t="s">
        <v>63</v>
      </c>
      <c r="L320" s="14"/>
      <c r="M320" s="11" t="s">
        <v>1152</v>
      </c>
    </row>
    <row r="321" customFormat="false" ht="15" hidden="false" customHeight="true" outlineLevel="0" collapsed="false">
      <c r="A321" s="11" t="s">
        <v>1153</v>
      </c>
      <c r="B321" s="12"/>
      <c r="C321" s="11" t="s">
        <v>52</v>
      </c>
      <c r="D321" s="11" t="s">
        <v>1154</v>
      </c>
      <c r="E321" s="11" t="s">
        <v>1151</v>
      </c>
      <c r="F321" s="11" t="s">
        <v>1143</v>
      </c>
      <c r="G321" s="11" t="n">
        <v>3</v>
      </c>
      <c r="H321" s="11" t="s">
        <v>1145</v>
      </c>
      <c r="I321" s="11" t="s">
        <v>1146</v>
      </c>
      <c r="J321" s="11" t="n">
        <f aca="false">COUNTIF($H$2:$H$326,A321)</f>
        <v>0</v>
      </c>
      <c r="K321" s="11" t="s">
        <v>63</v>
      </c>
      <c r="L321" s="14"/>
      <c r="M321" s="11" t="s">
        <v>1155</v>
      </c>
    </row>
    <row r="322" customFormat="false" ht="15" hidden="false" customHeight="true" outlineLevel="0" collapsed="false">
      <c r="A322" s="11" t="s">
        <v>1156</v>
      </c>
      <c r="B322" s="12"/>
      <c r="C322" s="11" t="s">
        <v>52</v>
      </c>
      <c r="D322" s="11" t="s">
        <v>1157</v>
      </c>
      <c r="E322" s="11" t="s">
        <v>1158</v>
      </c>
      <c r="F322" s="11" t="s">
        <v>1143</v>
      </c>
      <c r="G322" s="11" t="n">
        <v>2</v>
      </c>
      <c r="H322" s="11" t="s">
        <v>1140</v>
      </c>
      <c r="I322" s="11" t="s">
        <v>1141</v>
      </c>
      <c r="J322" s="11" t="n">
        <f aca="false">COUNTIF($H$2:$H$326,A322)</f>
        <v>0</v>
      </c>
      <c r="K322" s="11" t="s">
        <v>63</v>
      </c>
      <c r="L322" s="14"/>
      <c r="M322" s="11" t="s">
        <v>1159</v>
      </c>
    </row>
    <row r="323" customFormat="false" ht="15" hidden="false" customHeight="true" outlineLevel="0" collapsed="false">
      <c r="A323" s="11" t="s">
        <v>1160</v>
      </c>
      <c r="B323" s="12"/>
      <c r="C323" s="11" t="s">
        <v>52</v>
      </c>
      <c r="D323" s="11" t="s">
        <v>1161</v>
      </c>
      <c r="E323" s="11" t="s">
        <v>1151</v>
      </c>
      <c r="F323" s="11" t="s">
        <v>1143</v>
      </c>
      <c r="G323" s="11" t="n">
        <v>2</v>
      </c>
      <c r="H323" s="11" t="s">
        <v>1140</v>
      </c>
      <c r="I323" s="11" t="s">
        <v>1141</v>
      </c>
      <c r="J323" s="11" t="n">
        <f aca="false">COUNTIF($H$2:$H$326,A323)</f>
        <v>0</v>
      </c>
      <c r="K323" s="11" t="s">
        <v>63</v>
      </c>
      <c r="L323" s="14"/>
      <c r="M323" s="11" t="s">
        <v>1162</v>
      </c>
    </row>
    <row r="324" customFormat="false" ht="15" hidden="false" customHeight="true" outlineLevel="0" collapsed="false">
      <c r="A324" s="11" t="s">
        <v>1163</v>
      </c>
      <c r="B324" s="12"/>
      <c r="C324" s="11" t="s">
        <v>45</v>
      </c>
      <c r="D324" s="11" t="s">
        <v>46</v>
      </c>
      <c r="E324" s="11" t="s">
        <v>1164</v>
      </c>
      <c r="F324" s="11" t="s">
        <v>1165</v>
      </c>
      <c r="G324" s="11" t="n">
        <v>1</v>
      </c>
      <c r="H324" s="11"/>
      <c r="I324" s="11"/>
      <c r="J324" s="11" t="n">
        <f aca="false">COUNTIF($H$2:$H$326,A324)</f>
        <v>1</v>
      </c>
      <c r="K324" s="11" t="s">
        <v>49</v>
      </c>
      <c r="L324" s="13" t="s">
        <v>50</v>
      </c>
      <c r="M324" s="11"/>
    </row>
    <row r="325" customFormat="false" ht="15" hidden="false" customHeight="true" outlineLevel="0" collapsed="false">
      <c r="A325" s="11" t="s">
        <v>1166</v>
      </c>
      <c r="B325" s="12"/>
      <c r="C325" s="11" t="s">
        <v>52</v>
      </c>
      <c r="D325" s="11" t="s">
        <v>1167</v>
      </c>
      <c r="E325" s="11" t="s">
        <v>100</v>
      </c>
      <c r="F325" s="11" t="s">
        <v>1165</v>
      </c>
      <c r="G325" s="11" t="n">
        <v>2</v>
      </c>
      <c r="H325" s="11" t="s">
        <v>1163</v>
      </c>
      <c r="I325" s="11" t="s">
        <v>1164</v>
      </c>
      <c r="J325" s="11" t="n">
        <f aca="false">COUNTIF($H$2:$H$326,A325)</f>
        <v>1</v>
      </c>
      <c r="K325" s="11" t="s">
        <v>100</v>
      </c>
      <c r="L325" s="14"/>
      <c r="M325" s="11" t="s">
        <v>1168</v>
      </c>
    </row>
    <row r="326" customFormat="false" ht="34.5" hidden="false" customHeight="true" outlineLevel="0" collapsed="false">
      <c r="A326" s="11" t="s">
        <v>1169</v>
      </c>
      <c r="B326" s="12"/>
      <c r="C326" s="11" t="s">
        <v>52</v>
      </c>
      <c r="D326" s="11" t="s">
        <v>186</v>
      </c>
      <c r="E326" s="11" t="s">
        <v>1170</v>
      </c>
      <c r="F326" s="11" t="s">
        <v>1165</v>
      </c>
      <c r="G326" s="11" t="n">
        <v>3</v>
      </c>
      <c r="H326" s="11" t="s">
        <v>1166</v>
      </c>
      <c r="I326" s="11" t="s">
        <v>1167</v>
      </c>
      <c r="J326" s="11" t="n">
        <f aca="false">COUNTIF($H$2:$H$326,A326)</f>
        <v>0</v>
      </c>
      <c r="K326" s="11" t="s">
        <v>63</v>
      </c>
      <c r="L326" s="13" t="s">
        <v>1171</v>
      </c>
      <c r="M326" s="11" t="s">
        <v>1172</v>
      </c>
    </row>
  </sheetData>
  <autoFilter ref="A1:M3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28"/>
    <col collapsed="false" customWidth="true" hidden="false" outlineLevel="0" max="7" min="7" style="1" width="30"/>
  </cols>
  <sheetData>
    <row r="1" customFormat="false" ht="15" hidden="false" customHeight="true" outlineLevel="0" collapsed="false">
      <c r="A1" s="10" t="s">
        <v>1173</v>
      </c>
      <c r="B1" s="10" t="s">
        <v>31</v>
      </c>
      <c r="C1" s="10" t="s">
        <v>35</v>
      </c>
      <c r="D1" s="10" t="s">
        <v>36</v>
      </c>
      <c r="E1" s="10" t="s">
        <v>39</v>
      </c>
      <c r="F1" s="10" t="s">
        <v>1174</v>
      </c>
      <c r="G1" s="10" t="s">
        <v>1175</v>
      </c>
    </row>
    <row r="2" customFormat="false" ht="15" hidden="false" customHeight="true" outlineLevel="0" collapsed="false">
      <c r="A2" s="11" t="s">
        <v>103</v>
      </c>
      <c r="B2" s="11" t="s">
        <v>102</v>
      </c>
      <c r="C2" s="11" t="s">
        <v>104</v>
      </c>
      <c r="D2" s="11" t="s">
        <v>96</v>
      </c>
      <c r="E2" s="11" t="s">
        <v>98</v>
      </c>
      <c r="F2" s="11" t="s">
        <v>1176</v>
      </c>
      <c r="G2" s="12"/>
    </row>
    <row r="3" customFormat="false" ht="15" hidden="false" customHeight="true" outlineLevel="0" collapsed="false">
      <c r="A3" s="11" t="s">
        <v>103</v>
      </c>
      <c r="B3" s="11" t="s">
        <v>979</v>
      </c>
      <c r="C3" s="11" t="s">
        <v>55</v>
      </c>
      <c r="D3" s="11" t="s">
        <v>977</v>
      </c>
      <c r="E3" s="11" t="s">
        <v>975</v>
      </c>
      <c r="F3" s="11" t="s">
        <v>1176</v>
      </c>
      <c r="G3" s="12"/>
    </row>
    <row r="4" customFormat="false" ht="15" hidden="false" customHeight="true" outlineLevel="0" collapsed="false">
      <c r="A4" s="11" t="s">
        <v>897</v>
      </c>
      <c r="B4" s="11" t="s">
        <v>896</v>
      </c>
      <c r="C4" s="11" t="s">
        <v>845</v>
      </c>
      <c r="D4" s="11" t="s">
        <v>830</v>
      </c>
      <c r="E4" s="11" t="s">
        <v>894</v>
      </c>
      <c r="F4" s="11" t="s">
        <v>1177</v>
      </c>
      <c r="G4" s="12"/>
    </row>
    <row r="5" customFormat="false" ht="15" hidden="false" customHeight="true" outlineLevel="0" collapsed="false">
      <c r="A5" s="11" t="s">
        <v>897</v>
      </c>
      <c r="B5" s="11" t="s">
        <v>931</v>
      </c>
      <c r="C5" s="11" t="s">
        <v>845</v>
      </c>
      <c r="D5" s="11" t="s">
        <v>830</v>
      </c>
      <c r="E5" s="11" t="s">
        <v>833</v>
      </c>
      <c r="F5" s="11" t="s">
        <v>1177</v>
      </c>
      <c r="G5" s="12"/>
    </row>
    <row r="6" customFormat="false" ht="15" hidden="false" customHeight="true" outlineLevel="0" collapsed="false">
      <c r="A6" s="11" t="s">
        <v>196</v>
      </c>
      <c r="B6" s="11" t="s">
        <v>195</v>
      </c>
      <c r="C6" s="11" t="s">
        <v>168</v>
      </c>
      <c r="D6" s="11" t="s">
        <v>96</v>
      </c>
      <c r="E6" s="11" t="s">
        <v>121</v>
      </c>
      <c r="F6" s="11" t="s">
        <v>1176</v>
      </c>
      <c r="G6" s="12"/>
    </row>
    <row r="7" customFormat="false" ht="15" hidden="false" customHeight="true" outlineLevel="0" collapsed="false">
      <c r="A7" s="11" t="s">
        <v>196</v>
      </c>
      <c r="B7" s="11" t="s">
        <v>844</v>
      </c>
      <c r="C7" s="11" t="s">
        <v>845</v>
      </c>
      <c r="D7" s="11" t="s">
        <v>830</v>
      </c>
      <c r="E7" s="11" t="s">
        <v>840</v>
      </c>
      <c r="F7" s="11" t="s">
        <v>1176</v>
      </c>
      <c r="G7" s="12"/>
    </row>
    <row r="8" customFormat="false" ht="15" hidden="false" customHeight="true" outlineLevel="0" collapsed="false">
      <c r="A8" s="11" t="s">
        <v>296</v>
      </c>
      <c r="B8" s="11" t="s">
        <v>295</v>
      </c>
      <c r="C8" s="11" t="s">
        <v>297</v>
      </c>
      <c r="D8" s="11" t="s">
        <v>96</v>
      </c>
      <c r="E8" s="11" t="s">
        <v>292</v>
      </c>
      <c r="F8" s="11" t="s">
        <v>1176</v>
      </c>
      <c r="G8" s="12"/>
    </row>
    <row r="9" customFormat="false" ht="15" hidden="false" customHeight="true" outlineLevel="0" collapsed="false">
      <c r="A9" s="11" t="s">
        <v>296</v>
      </c>
      <c r="B9" s="11" t="s">
        <v>633</v>
      </c>
      <c r="C9" s="11" t="s">
        <v>55</v>
      </c>
      <c r="D9" s="11" t="s">
        <v>619</v>
      </c>
      <c r="E9" s="11" t="s">
        <v>617</v>
      </c>
      <c r="F9" s="11" t="s">
        <v>1176</v>
      </c>
      <c r="G9" s="12"/>
    </row>
    <row r="10" customFormat="false" ht="15" hidden="false" customHeight="true" outlineLevel="0" collapsed="false">
      <c r="A10" s="11" t="s">
        <v>758</v>
      </c>
      <c r="B10" s="11" t="s">
        <v>757</v>
      </c>
      <c r="C10" s="11" t="s">
        <v>759</v>
      </c>
      <c r="D10" s="11" t="s">
        <v>752</v>
      </c>
      <c r="E10" s="11" t="s">
        <v>754</v>
      </c>
      <c r="F10" s="11" t="s">
        <v>1176</v>
      </c>
      <c r="G10" s="12"/>
    </row>
    <row r="11" customFormat="false" ht="15" hidden="false" customHeight="true" outlineLevel="0" collapsed="false">
      <c r="A11" s="11" t="s">
        <v>758</v>
      </c>
      <c r="B11" s="11" t="s">
        <v>926</v>
      </c>
      <c r="C11" s="11" t="s">
        <v>845</v>
      </c>
      <c r="D11" s="11" t="s">
        <v>830</v>
      </c>
      <c r="E11" s="11" t="s">
        <v>833</v>
      </c>
      <c r="F11" s="11" t="s">
        <v>1176</v>
      </c>
      <c r="G11" s="12"/>
    </row>
    <row r="12" customFormat="false" ht="15" hidden="false" customHeight="true" outlineLevel="0" collapsed="false">
      <c r="A12" s="11" t="s">
        <v>380</v>
      </c>
      <c r="B12" s="11" t="s">
        <v>379</v>
      </c>
      <c r="C12" s="11" t="s">
        <v>381</v>
      </c>
      <c r="D12" s="11" t="s">
        <v>347</v>
      </c>
      <c r="E12" s="11" t="s">
        <v>376</v>
      </c>
      <c r="F12" s="11" t="s">
        <v>1176</v>
      </c>
      <c r="G12" s="12"/>
    </row>
    <row r="13" customFormat="false" ht="15" hidden="false" customHeight="true" outlineLevel="0" collapsed="false">
      <c r="A13" s="11" t="s">
        <v>380</v>
      </c>
      <c r="B13" s="11" t="s">
        <v>698</v>
      </c>
      <c r="C13" s="11" t="s">
        <v>693</v>
      </c>
      <c r="D13" s="11" t="s">
        <v>662</v>
      </c>
      <c r="E13" s="11" t="s">
        <v>685</v>
      </c>
      <c r="F13" s="11" t="s">
        <v>1176</v>
      </c>
      <c r="G13" s="12"/>
    </row>
    <row r="14" customFormat="false" ht="15" hidden="false" customHeight="true" outlineLevel="0" collapsed="false">
      <c r="A14" s="11" t="s">
        <v>338</v>
      </c>
      <c r="B14" s="11" t="s">
        <v>337</v>
      </c>
      <c r="C14" s="11" t="s">
        <v>339</v>
      </c>
      <c r="D14" s="11" t="s">
        <v>96</v>
      </c>
      <c r="E14" s="11" t="s">
        <v>330</v>
      </c>
      <c r="F14" s="11" t="s">
        <v>1176</v>
      </c>
      <c r="G14" s="12"/>
    </row>
    <row r="15" customFormat="false" ht="15" hidden="false" customHeight="true" outlineLevel="0" collapsed="false">
      <c r="A15" s="11" t="s">
        <v>338</v>
      </c>
      <c r="B15" s="11" t="s">
        <v>481</v>
      </c>
      <c r="C15" s="11" t="s">
        <v>482</v>
      </c>
      <c r="D15" s="11" t="s">
        <v>470</v>
      </c>
      <c r="E15" s="11" t="s">
        <v>474</v>
      </c>
      <c r="F15" s="11" t="s">
        <v>1176</v>
      </c>
      <c r="G15" s="12"/>
    </row>
    <row r="16" customFormat="false" ht="15" hidden="false" customHeight="true" outlineLevel="0" collapsed="false">
      <c r="A16" s="11" t="s">
        <v>322</v>
      </c>
      <c r="B16" s="11" t="s">
        <v>321</v>
      </c>
      <c r="C16" s="11" t="s">
        <v>323</v>
      </c>
      <c r="D16" s="11" t="s">
        <v>96</v>
      </c>
      <c r="E16" s="11" t="s">
        <v>292</v>
      </c>
      <c r="F16" s="11" t="s">
        <v>1176</v>
      </c>
      <c r="G16" s="12"/>
    </row>
    <row r="17" customFormat="false" ht="15" hidden="false" customHeight="true" outlineLevel="0" collapsed="false">
      <c r="A17" s="11" t="s">
        <v>322</v>
      </c>
      <c r="B17" s="11" t="s">
        <v>1099</v>
      </c>
      <c r="C17" s="11" t="s">
        <v>1100</v>
      </c>
      <c r="D17" s="11" t="s">
        <v>1093</v>
      </c>
      <c r="E17" s="11" t="s">
        <v>1091</v>
      </c>
      <c r="F17" s="11" t="s">
        <v>1176</v>
      </c>
      <c r="G17" s="12"/>
    </row>
    <row r="18" customFormat="false" ht="15" hidden="false" customHeight="true" outlineLevel="0" collapsed="false">
      <c r="A18" s="11" t="s">
        <v>186</v>
      </c>
      <c r="B18" s="11" t="s">
        <v>185</v>
      </c>
      <c r="C18" s="11" t="s">
        <v>168</v>
      </c>
      <c r="D18" s="11" t="s">
        <v>96</v>
      </c>
      <c r="E18" s="11" t="s">
        <v>121</v>
      </c>
      <c r="F18" s="11" t="s">
        <v>1176</v>
      </c>
      <c r="G18" s="12"/>
    </row>
    <row r="19" customFormat="false" ht="15" hidden="false" customHeight="true" outlineLevel="0" collapsed="false">
      <c r="A19" s="11" t="s">
        <v>186</v>
      </c>
      <c r="B19" s="11" t="s">
        <v>1169</v>
      </c>
      <c r="C19" s="11" t="s">
        <v>1170</v>
      </c>
      <c r="D19" s="11" t="s">
        <v>1165</v>
      </c>
      <c r="E19" s="11" t="s">
        <v>1167</v>
      </c>
      <c r="F19" s="11" t="s">
        <v>1176</v>
      </c>
      <c r="G19" s="12"/>
    </row>
    <row r="20" customFormat="false" ht="15" hidden="false" customHeight="true" outlineLevel="0" collapsed="false">
      <c r="A20" s="11" t="s">
        <v>474</v>
      </c>
      <c r="B20" s="11" t="s">
        <v>473</v>
      </c>
      <c r="C20" s="11" t="s">
        <v>475</v>
      </c>
      <c r="D20" s="11" t="s">
        <v>470</v>
      </c>
      <c r="E20" s="11" t="s">
        <v>468</v>
      </c>
      <c r="F20" s="11" t="s">
        <v>1176</v>
      </c>
      <c r="G20" s="12"/>
    </row>
    <row r="21" customFormat="false" ht="15" hidden="false" customHeight="true" outlineLevel="0" collapsed="false">
      <c r="A21" s="11" t="s">
        <v>474</v>
      </c>
      <c r="B21" s="11" t="s">
        <v>778</v>
      </c>
      <c r="C21" s="11" t="s">
        <v>779</v>
      </c>
      <c r="D21" s="11" t="s">
        <v>776</v>
      </c>
      <c r="E21" s="11" t="s">
        <v>774</v>
      </c>
      <c r="F21" s="11" t="s">
        <v>1176</v>
      </c>
      <c r="G21" s="12"/>
    </row>
    <row r="22" customFormat="false" ht="15" hidden="false" customHeight="true" outlineLevel="0" collapsed="false">
      <c r="A22" s="11" t="s">
        <v>640</v>
      </c>
      <c r="B22" s="11" t="s">
        <v>639</v>
      </c>
      <c r="C22" s="11" t="s">
        <v>641</v>
      </c>
      <c r="D22" s="11" t="s">
        <v>619</v>
      </c>
      <c r="E22" s="11" t="s">
        <v>636</v>
      </c>
      <c r="F22" s="11" t="s">
        <v>1176</v>
      </c>
      <c r="G22" s="12"/>
    </row>
    <row r="23" customFormat="false" ht="15" hidden="false" customHeight="true" outlineLevel="0" collapsed="false">
      <c r="A23" s="11" t="s">
        <v>640</v>
      </c>
      <c r="B23" s="11" t="s">
        <v>781</v>
      </c>
      <c r="C23" s="11" t="s">
        <v>782</v>
      </c>
      <c r="D23" s="11" t="s">
        <v>776</v>
      </c>
      <c r="E23" s="11" t="s">
        <v>474</v>
      </c>
      <c r="F23" s="11" t="s">
        <v>1176</v>
      </c>
      <c r="G23" s="12"/>
    </row>
    <row r="24" customFormat="false" ht="15" hidden="false" customHeight="true" outlineLevel="0" collapsed="false">
      <c r="A24" s="11" t="s">
        <v>180</v>
      </c>
      <c r="B24" s="11" t="s">
        <v>179</v>
      </c>
      <c r="C24" s="11" t="s">
        <v>168</v>
      </c>
      <c r="D24" s="11" t="s">
        <v>96</v>
      </c>
      <c r="E24" s="11" t="s">
        <v>121</v>
      </c>
      <c r="F24" s="11" t="s">
        <v>1176</v>
      </c>
      <c r="G24" s="12"/>
    </row>
    <row r="25" customFormat="false" ht="15" hidden="false" customHeight="true" outlineLevel="0" collapsed="false">
      <c r="A25" s="11" t="s">
        <v>180</v>
      </c>
      <c r="B25" s="11" t="s">
        <v>437</v>
      </c>
      <c r="C25" s="11" t="s">
        <v>438</v>
      </c>
      <c r="D25" s="11" t="s">
        <v>439</v>
      </c>
      <c r="E25" s="11"/>
      <c r="F25" s="11" t="s">
        <v>1176</v>
      </c>
      <c r="G25" s="12"/>
    </row>
    <row r="26" customFormat="false" ht="15" hidden="false" customHeight="true" outlineLevel="0" collapsed="false">
      <c r="A26" s="11" t="s">
        <v>180</v>
      </c>
      <c r="B26" s="11" t="s">
        <v>437</v>
      </c>
      <c r="C26" s="11" t="s">
        <v>438</v>
      </c>
      <c r="D26" s="11" t="s">
        <v>662</v>
      </c>
      <c r="E26" s="11"/>
      <c r="F26" s="11" t="s">
        <v>1176</v>
      </c>
      <c r="G26" s="12"/>
    </row>
    <row r="27" customFormat="false" ht="15" hidden="false" customHeight="true" outlineLevel="0" collapsed="false">
      <c r="A27" s="11" t="s">
        <v>180</v>
      </c>
      <c r="B27" s="11" t="s">
        <v>437</v>
      </c>
      <c r="C27" s="11" t="s">
        <v>438</v>
      </c>
      <c r="D27" s="11" t="s">
        <v>752</v>
      </c>
      <c r="E27" s="11"/>
      <c r="F27" s="11" t="s">
        <v>1176</v>
      </c>
      <c r="G27" s="12"/>
    </row>
    <row r="28" customFormat="false" ht="15" hidden="false" customHeight="true" outlineLevel="0" collapsed="false">
      <c r="A28" s="11" t="s">
        <v>610</v>
      </c>
      <c r="B28" s="11" t="s">
        <v>609</v>
      </c>
      <c r="C28" s="11" t="s">
        <v>611</v>
      </c>
      <c r="D28" s="11" t="s">
        <v>470</v>
      </c>
      <c r="E28" s="11" t="s">
        <v>468</v>
      </c>
      <c r="F28" s="11" t="s">
        <v>1176</v>
      </c>
      <c r="G28" s="12"/>
    </row>
    <row r="29" customFormat="false" ht="15" hidden="false" customHeight="true" outlineLevel="0" collapsed="false">
      <c r="A29" s="11" t="s">
        <v>610</v>
      </c>
      <c r="B29" s="11" t="s">
        <v>1023</v>
      </c>
      <c r="C29" s="11" t="s">
        <v>428</v>
      </c>
      <c r="D29" s="11" t="s">
        <v>977</v>
      </c>
      <c r="E29" s="11" t="s">
        <v>975</v>
      </c>
      <c r="F29" s="11" t="s">
        <v>1176</v>
      </c>
      <c r="G29" s="12"/>
    </row>
    <row r="30" customFormat="false" ht="15" hidden="false" customHeight="true" outlineLevel="0" collapsed="false">
      <c r="A30" s="11" t="s">
        <v>840</v>
      </c>
      <c r="B30" s="11" t="s">
        <v>839</v>
      </c>
      <c r="C30" s="11" t="s">
        <v>841</v>
      </c>
      <c r="D30" s="11" t="s">
        <v>830</v>
      </c>
      <c r="E30" s="11" t="s">
        <v>836</v>
      </c>
      <c r="F30" s="11" t="s">
        <v>1176</v>
      </c>
      <c r="G30" s="12"/>
    </row>
    <row r="31" customFormat="false" ht="15" hidden="false" customHeight="true" outlineLevel="0" collapsed="false">
      <c r="A31" s="11" t="s">
        <v>840</v>
      </c>
      <c r="B31" s="11" t="s">
        <v>1030</v>
      </c>
      <c r="C31" s="11" t="s">
        <v>966</v>
      </c>
      <c r="D31" s="11" t="s">
        <v>977</v>
      </c>
      <c r="E31" s="11" t="s">
        <v>951</v>
      </c>
      <c r="F31" s="11" t="s">
        <v>1176</v>
      </c>
      <c r="G31" s="12"/>
    </row>
    <row r="32" customFormat="false" ht="15" hidden="false" customHeight="true" outlineLevel="0" collapsed="false">
      <c r="A32" s="11" t="s">
        <v>951</v>
      </c>
      <c r="B32" s="11" t="s">
        <v>950</v>
      </c>
      <c r="C32" s="11" t="s">
        <v>845</v>
      </c>
      <c r="D32" s="11" t="s">
        <v>937</v>
      </c>
      <c r="E32" s="11" t="s">
        <v>944</v>
      </c>
      <c r="F32" s="11" t="s">
        <v>1176</v>
      </c>
      <c r="G32" s="12"/>
    </row>
    <row r="33" customFormat="false" ht="15" hidden="false" customHeight="true" outlineLevel="0" collapsed="false">
      <c r="A33" s="11" t="s">
        <v>951</v>
      </c>
      <c r="B33" s="11" t="s">
        <v>1025</v>
      </c>
      <c r="C33" s="11" t="s">
        <v>100</v>
      </c>
      <c r="D33" s="11" t="s">
        <v>977</v>
      </c>
      <c r="E33" s="11" t="s">
        <v>610</v>
      </c>
      <c r="F33" s="11" t="s">
        <v>1176</v>
      </c>
      <c r="G33" s="12"/>
    </row>
    <row r="34" customFormat="false" ht="15" hidden="false" customHeight="true" outlineLevel="0" collapsed="false">
      <c r="A34" s="11" t="s">
        <v>785</v>
      </c>
      <c r="B34" s="11" t="s">
        <v>784</v>
      </c>
      <c r="C34" s="11" t="s">
        <v>786</v>
      </c>
      <c r="D34" s="11" t="s">
        <v>776</v>
      </c>
      <c r="E34" s="11" t="s">
        <v>474</v>
      </c>
      <c r="F34" s="11" t="s">
        <v>1177</v>
      </c>
      <c r="G34" s="12"/>
    </row>
    <row r="35" customFormat="false" ht="15" hidden="false" customHeight="true" outlineLevel="0" collapsed="false">
      <c r="A35" s="11" t="s">
        <v>785</v>
      </c>
      <c r="B35" s="11" t="s">
        <v>793</v>
      </c>
      <c r="C35" s="11" t="s">
        <v>786</v>
      </c>
      <c r="D35" s="11" t="s">
        <v>776</v>
      </c>
      <c r="E35" s="11" t="s">
        <v>474</v>
      </c>
      <c r="F35" s="11" t="s">
        <v>1177</v>
      </c>
      <c r="G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22"/>
    <col collapsed="false" customWidth="true" hidden="false" outlineLevel="0" max="7" min="7" style="1" width="32"/>
    <col collapsed="false" customWidth="true" hidden="false" outlineLevel="0" max="8" min="8" style="1" width="60"/>
  </cols>
  <sheetData>
    <row r="1" customFormat="false" ht="23.25" hidden="false" customHeight="true" outlineLevel="0" collapsed="false">
      <c r="A1" s="10" t="s">
        <v>36</v>
      </c>
      <c r="B1" s="10" t="s">
        <v>1178</v>
      </c>
      <c r="C1" s="10" t="s">
        <v>1179</v>
      </c>
      <c r="D1" s="10" t="s">
        <v>1180</v>
      </c>
      <c r="E1" s="10" t="s">
        <v>1181</v>
      </c>
      <c r="F1" s="10" t="s">
        <v>1182</v>
      </c>
      <c r="G1" s="10" t="s">
        <v>1183</v>
      </c>
      <c r="H1" s="10" t="s">
        <v>1184</v>
      </c>
    </row>
    <row r="2" customFormat="false" ht="15" hidden="false" customHeight="true" outlineLevel="0" collapsed="false">
      <c r="A2" s="11" t="s">
        <v>977</v>
      </c>
      <c r="B2" s="11" t="s">
        <v>974</v>
      </c>
      <c r="C2" s="11" t="s">
        <v>975</v>
      </c>
      <c r="D2" s="11" t="n">
        <f aca="false">COUNTIFS(Employee_Master!$F:$F,A2,Employee_Master!$C:$C,"Employee")</f>
        <v>37</v>
      </c>
      <c r="E2" s="11" t="n">
        <f aca="false">COUNTIFS(Employee_Master!$F:$F,A2,Employee_Master!$C:$C,"Vacant Position")</f>
        <v>0</v>
      </c>
      <c r="F2" s="12" t="s">
        <v>1185</v>
      </c>
      <c r="G2" s="11" t="s">
        <v>977</v>
      </c>
      <c r="H2" s="14" t="s">
        <v>1186</v>
      </c>
    </row>
    <row r="3" customFormat="false" ht="15" hidden="false" customHeight="true" outlineLevel="0" collapsed="false">
      <c r="A3" s="11" t="s">
        <v>1123</v>
      </c>
      <c r="B3" s="11" t="s">
        <v>1121</v>
      </c>
      <c r="C3" s="11" t="s">
        <v>1122</v>
      </c>
      <c r="D3" s="11" t="n">
        <f aca="false">COUNTIFS(Employee_Master!$F:$F,A3,Employee_Master!$C:$C,"Employee")</f>
        <v>4</v>
      </c>
      <c r="E3" s="11" t="n">
        <f aca="false">COUNTIFS(Employee_Master!$F:$F,A3,Employee_Master!$C:$C,"Vacant Position")</f>
        <v>1</v>
      </c>
      <c r="F3" s="12" t="s">
        <v>1185</v>
      </c>
      <c r="G3" s="11"/>
      <c r="H3" s="14" t="s">
        <v>1187</v>
      </c>
    </row>
    <row r="4" customFormat="false" ht="23.25" hidden="false" customHeight="true" outlineLevel="0" collapsed="false">
      <c r="A4" s="11" t="s">
        <v>1093</v>
      </c>
      <c r="B4" s="11" t="s">
        <v>1090</v>
      </c>
      <c r="C4" s="11" t="s">
        <v>1091</v>
      </c>
      <c r="D4" s="11" t="n">
        <f aca="false">COUNTIFS(Employee_Master!$F:$F,A4,Employee_Master!$C:$C,"Employee")</f>
        <v>8</v>
      </c>
      <c r="E4" s="11" t="n">
        <f aca="false">COUNTIFS(Employee_Master!$F:$F,A4,Employee_Master!$C:$C,"Vacant Position")</f>
        <v>0</v>
      </c>
      <c r="F4" s="12" t="s">
        <v>1185</v>
      </c>
      <c r="G4" s="11"/>
      <c r="H4" s="14" t="s">
        <v>1188</v>
      </c>
    </row>
    <row r="5" customFormat="false" ht="15" hidden="false" customHeight="true" outlineLevel="0" collapsed="false">
      <c r="A5" s="11" t="s">
        <v>937</v>
      </c>
      <c r="B5" s="11" t="s">
        <v>935</v>
      </c>
      <c r="C5" s="11" t="s">
        <v>936</v>
      </c>
      <c r="D5" s="11" t="n">
        <f aca="false">COUNTIFS(Employee_Master!$F:$F,A5,Employee_Master!$C:$C,"Employee")</f>
        <v>11</v>
      </c>
      <c r="E5" s="11" t="n">
        <f aca="false">COUNTIFS(Employee_Master!$F:$F,A5,Employee_Master!$C:$C,"Vacant Position")</f>
        <v>0</v>
      </c>
      <c r="F5" s="12" t="s">
        <v>1185</v>
      </c>
      <c r="G5" s="11"/>
      <c r="H5" s="14" t="s">
        <v>1189</v>
      </c>
    </row>
    <row r="6" customFormat="false" ht="15" hidden="false" customHeight="true" outlineLevel="0" collapsed="false">
      <c r="A6" s="11" t="s">
        <v>96</v>
      </c>
      <c r="B6" s="11" t="s">
        <v>44</v>
      </c>
      <c r="C6" s="11" t="s">
        <v>47</v>
      </c>
      <c r="D6" s="11" t="n">
        <f aca="false">COUNTIFS(Employee_Master!$F:$F,A6,Employee_Master!$C:$C,"Employee")</f>
        <v>71</v>
      </c>
      <c r="E6" s="11" t="n">
        <f aca="false">COUNTIFS(Employee_Master!$F:$F,A6,Employee_Master!$C:$C,"Vacant Position")</f>
        <v>1</v>
      </c>
      <c r="F6" s="12" t="s">
        <v>1190</v>
      </c>
      <c r="G6" s="11" t="s">
        <v>96</v>
      </c>
      <c r="H6" s="14" t="s">
        <v>1191</v>
      </c>
    </row>
    <row r="7" customFormat="false" ht="15" hidden="false" customHeight="true" outlineLevel="0" collapsed="false">
      <c r="A7" s="11" t="s">
        <v>48</v>
      </c>
      <c r="B7" s="11" t="s">
        <v>44</v>
      </c>
      <c r="C7" s="11" t="s">
        <v>47</v>
      </c>
      <c r="D7" s="11" t="n">
        <f aca="false">COUNTIFS(Employee_Master!$F:$F,A7,Employee_Master!$C:$C,"Employee")</f>
        <v>11</v>
      </c>
      <c r="E7" s="11" t="n">
        <f aca="false">COUNTIFS(Employee_Master!$F:$F,A7,Employee_Master!$C:$C,"Vacant Position")</f>
        <v>1</v>
      </c>
      <c r="F7" s="12" t="s">
        <v>1190</v>
      </c>
      <c r="G7" s="11"/>
      <c r="H7" s="14"/>
    </row>
    <row r="8" customFormat="false" ht="15" hidden="false" customHeight="true" outlineLevel="0" collapsed="false">
      <c r="A8" s="11" t="s">
        <v>662</v>
      </c>
      <c r="B8" s="11" t="s">
        <v>437</v>
      </c>
      <c r="C8" s="11" t="s">
        <v>180</v>
      </c>
      <c r="D8" s="11" t="n">
        <f aca="false">COUNTIFS(Employee_Master!$F:$F,A8,Employee_Master!$C:$C,"Employee")</f>
        <v>29</v>
      </c>
      <c r="E8" s="11" t="n">
        <f aca="false">COUNTIFS(Employee_Master!$F:$F,A8,Employee_Master!$C:$C,"Vacant Position")</f>
        <v>0</v>
      </c>
      <c r="F8" s="12" t="s">
        <v>1190</v>
      </c>
      <c r="G8" s="11" t="s">
        <v>1192</v>
      </c>
      <c r="H8" s="14"/>
    </row>
    <row r="9" customFormat="false" ht="15" hidden="false" customHeight="true" outlineLevel="0" collapsed="false">
      <c r="A9" s="11" t="s">
        <v>439</v>
      </c>
      <c r="B9" s="11" t="s">
        <v>437</v>
      </c>
      <c r="C9" s="11" t="s">
        <v>180</v>
      </c>
      <c r="D9" s="11" t="n">
        <f aca="false">COUNTIFS(Employee_Master!$F:$F,A9,Employee_Master!$C:$C,"Employee")</f>
        <v>8</v>
      </c>
      <c r="E9" s="11" t="n">
        <f aca="false">COUNTIFS(Employee_Master!$F:$F,A9,Employee_Master!$C:$C,"Vacant Position")</f>
        <v>0</v>
      </c>
      <c r="F9" s="12" t="s">
        <v>1190</v>
      </c>
      <c r="G9" s="11"/>
      <c r="H9" s="14"/>
    </row>
    <row r="10" customFormat="false" ht="23.25" hidden="false" customHeight="true" outlineLevel="0" collapsed="false">
      <c r="A10" s="11" t="s">
        <v>776</v>
      </c>
      <c r="B10" s="11" t="s">
        <v>773</v>
      </c>
      <c r="C10" s="11" t="s">
        <v>774</v>
      </c>
      <c r="D10" s="11" t="n">
        <f aca="false">COUNTIFS(Employee_Master!$F:$F,A10,Employee_Master!$C:$C,"Employee")</f>
        <v>16</v>
      </c>
      <c r="E10" s="11" t="n">
        <f aca="false">COUNTIFS(Employee_Master!$F:$F,A10,Employee_Master!$C:$C,"Vacant Position")</f>
        <v>0</v>
      </c>
      <c r="F10" s="12" t="s">
        <v>1190</v>
      </c>
      <c r="G10" s="11"/>
      <c r="H10" s="14" t="s">
        <v>1193</v>
      </c>
    </row>
    <row r="11" customFormat="false" ht="15" hidden="false" customHeight="true" outlineLevel="0" collapsed="false">
      <c r="A11" s="11" t="s">
        <v>752</v>
      </c>
      <c r="B11" s="11" t="s">
        <v>437</v>
      </c>
      <c r="C11" s="11" t="s">
        <v>180</v>
      </c>
      <c r="D11" s="11" t="n">
        <f aca="false">COUNTIFS(Employee_Master!$F:$F,A11,Employee_Master!$C:$C,"Employee")</f>
        <v>6</v>
      </c>
      <c r="E11" s="11" t="n">
        <f aca="false">COUNTIFS(Employee_Master!$F:$F,A11,Employee_Master!$C:$C,"Vacant Position")</f>
        <v>1</v>
      </c>
      <c r="F11" s="12" t="s">
        <v>1190</v>
      </c>
      <c r="G11" s="11" t="s">
        <v>752</v>
      </c>
      <c r="H11" s="14" t="s">
        <v>1194</v>
      </c>
    </row>
    <row r="12" customFormat="false" ht="15" hidden="false" customHeight="true" outlineLevel="0" collapsed="false">
      <c r="A12" s="11" t="s">
        <v>470</v>
      </c>
      <c r="B12" s="11" t="s">
        <v>467</v>
      </c>
      <c r="C12" s="11" t="s">
        <v>468</v>
      </c>
      <c r="D12" s="11" t="n">
        <f aca="false">COUNTIFS(Employee_Master!$F:$F,A12,Employee_Master!$C:$C,"Employee")</f>
        <v>40</v>
      </c>
      <c r="E12" s="11" t="n">
        <f aca="false">COUNTIFS(Employee_Master!$F:$F,A12,Employee_Master!$C:$C,"Vacant Position")</f>
        <v>0</v>
      </c>
      <c r="F12" s="12" t="s">
        <v>1190</v>
      </c>
      <c r="G12" s="11"/>
      <c r="H12" s="14" t="s">
        <v>1195</v>
      </c>
    </row>
    <row r="13" customFormat="false" ht="15" hidden="false" customHeight="true" outlineLevel="0" collapsed="false">
      <c r="A13" s="11" t="s">
        <v>830</v>
      </c>
      <c r="B13" s="11" t="s">
        <v>827</v>
      </c>
      <c r="C13" s="11" t="s">
        <v>828</v>
      </c>
      <c r="D13" s="11" t="n">
        <f aca="false">COUNTIFS(Employee_Master!$F:$F,A13,Employee_Master!$C:$C,"Employee")</f>
        <v>35</v>
      </c>
      <c r="E13" s="11" t="n">
        <f aca="false">COUNTIFS(Employee_Master!$F:$F,A13,Employee_Master!$C:$C,"Vacant Position")</f>
        <v>0</v>
      </c>
      <c r="F13" s="12" t="s">
        <v>1196</v>
      </c>
      <c r="G13" s="11" t="s">
        <v>1197</v>
      </c>
      <c r="H13" s="14" t="s">
        <v>1198</v>
      </c>
    </row>
    <row r="14" customFormat="false" ht="15" hidden="false" customHeight="true" outlineLevel="0" collapsed="false">
      <c r="A14" s="11" t="s">
        <v>619</v>
      </c>
      <c r="B14" s="11" t="s">
        <v>616</v>
      </c>
      <c r="C14" s="11" t="s">
        <v>617</v>
      </c>
      <c r="D14" s="11" t="n">
        <f aca="false">COUNTIFS(Employee_Master!$F:$F,A14,Employee_Master!$C:$C,"Employee")</f>
        <v>12</v>
      </c>
      <c r="E14" s="11" t="n">
        <f aca="false">COUNTIFS(Employee_Master!$F:$F,A14,Employee_Master!$C:$C,"Vacant Position")</f>
        <v>0</v>
      </c>
      <c r="F14" s="12" t="s">
        <v>1199</v>
      </c>
      <c r="G14" s="11" t="s">
        <v>1200</v>
      </c>
      <c r="H14" s="14"/>
    </row>
    <row r="15" customFormat="false" ht="15" hidden="false" customHeight="true" outlineLevel="0" collapsed="false">
      <c r="A15" s="11" t="s">
        <v>347</v>
      </c>
      <c r="B15" s="11" t="s">
        <v>344</v>
      </c>
      <c r="C15" s="11" t="s">
        <v>345</v>
      </c>
      <c r="D15" s="11" t="n">
        <f aca="false">COUNTIFS(Employee_Master!$F:$F,A15,Employee_Master!$C:$C,"Employee")</f>
        <v>12</v>
      </c>
      <c r="E15" s="11" t="n">
        <f aca="false">COUNTIFS(Employee_Master!$F:$F,A15,Employee_Master!$C:$C,"Vacant Position")</f>
        <v>1</v>
      </c>
      <c r="F15" s="12" t="s">
        <v>1199</v>
      </c>
      <c r="G15" s="11" t="s">
        <v>1201</v>
      </c>
      <c r="H15" s="14" t="s">
        <v>1202</v>
      </c>
    </row>
    <row r="16" customFormat="false" ht="15" hidden="false" customHeight="true" outlineLevel="0" collapsed="false">
      <c r="A16" s="11" t="s">
        <v>398</v>
      </c>
      <c r="B16" s="11" t="s">
        <v>395</v>
      </c>
      <c r="C16" s="11" t="s">
        <v>396</v>
      </c>
      <c r="D16" s="11" t="n">
        <f aca="false">COUNTIFS(Employee_Master!$F:$F,A16,Employee_Master!$C:$C,"Employee")</f>
        <v>11</v>
      </c>
      <c r="E16" s="11" t="n">
        <f aca="false">COUNTIFS(Employee_Master!$F:$F,A16,Employee_Master!$C:$C,"Vacant Position")</f>
        <v>0</v>
      </c>
      <c r="F16" s="12" t="s">
        <v>1199</v>
      </c>
      <c r="G16" s="11" t="s">
        <v>1203</v>
      </c>
      <c r="H16" s="14"/>
    </row>
    <row r="17" customFormat="false" ht="15" hidden="false" customHeight="true" outlineLevel="0" collapsed="false">
      <c r="A17" s="11" t="s">
        <v>1143</v>
      </c>
      <c r="B17" s="11" t="s">
        <v>1140</v>
      </c>
      <c r="C17" s="11" t="s">
        <v>1141</v>
      </c>
      <c r="D17" s="11" t="n">
        <f aca="false">COUNTIFS(Employee_Master!$F:$F,A17,Employee_Master!$C:$C,"Employee")</f>
        <v>6</v>
      </c>
      <c r="E17" s="11" t="n">
        <f aca="false">COUNTIFS(Employee_Master!$F:$F,A17,Employee_Master!$C:$C,"Vacant Position")</f>
        <v>0</v>
      </c>
      <c r="F17" s="12" t="s">
        <v>1199</v>
      </c>
      <c r="G17" s="11"/>
      <c r="H17" s="14"/>
    </row>
    <row r="18" customFormat="false" ht="15" hidden="false" customHeight="true" outlineLevel="0" collapsed="false">
      <c r="A18" s="11" t="s">
        <v>1165</v>
      </c>
      <c r="B18" s="11" t="s">
        <v>1163</v>
      </c>
      <c r="C18" s="11" t="s">
        <v>1164</v>
      </c>
      <c r="D18" s="11" t="n">
        <f aca="false">COUNTIFS(Employee_Master!$F:$F,A18,Employee_Master!$C:$C,"Employee")</f>
        <v>2</v>
      </c>
      <c r="E18" s="11" t="n">
        <f aca="false">COUNTIFS(Employee_Master!$F:$F,A18,Employee_Master!$C:$C,"Vacant Position")</f>
        <v>1</v>
      </c>
      <c r="F18" s="12" t="s">
        <v>1199</v>
      </c>
      <c r="G18" s="11"/>
      <c r="H18" s="14" t="s">
        <v>1204</v>
      </c>
    </row>
    <row r="19" customFormat="false" ht="15" hidden="false" customHeight="true" outlineLevel="0" collapsed="false">
      <c r="A19" s="15" t="s">
        <v>1205</v>
      </c>
      <c r="B19" s="11"/>
      <c r="C19" s="11"/>
      <c r="D19" s="11" t="n">
        <f aca="false">SUM(D2:D18)</f>
        <v>319</v>
      </c>
      <c r="E19" s="11" t="n">
        <f aca="false">SUM(E2:E18)</f>
        <v>6</v>
      </c>
      <c r="F19" s="11"/>
      <c r="G19" s="11"/>
      <c r="H19" s="14"/>
    </row>
    <row r="20" customFormat="false" ht="15" hidden="false" customHeight="true" outlineLevel="0" collapsed="false">
      <c r="A20" s="11" t="s">
        <v>1206</v>
      </c>
      <c r="B20" s="11"/>
      <c r="C20" s="11"/>
      <c r="D20" s="11"/>
      <c r="E20" s="11"/>
      <c r="F20" s="11"/>
      <c r="G20" s="11"/>
      <c r="H20" s="14"/>
    </row>
  </sheetData>
  <dataValidations count="1">
    <dataValidation allowBlank="false" errorStyle="stop" operator="between" showDropDown="false" showErrorMessage="false" showInputMessage="false" sqref="F2:F18" type="list">
      <formula1>"Core Revenue,Revenue-Enabling,Customer Service (new),Support"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0" t="s">
        <v>1207</v>
      </c>
      <c r="B1" s="10" t="s">
        <v>1185</v>
      </c>
      <c r="C1" s="10" t="s">
        <v>1190</v>
      </c>
      <c r="D1" s="10" t="s">
        <v>1199</v>
      </c>
      <c r="E1" s="10" t="s">
        <v>1196</v>
      </c>
      <c r="F1" s="10" t="s">
        <v>1208</v>
      </c>
    </row>
    <row r="2" customFormat="false" ht="15" hidden="false" customHeight="true" outlineLevel="0" collapsed="false">
      <c r="A2" s="11" t="s">
        <v>1209</v>
      </c>
      <c r="B2" s="16" t="n">
        <v>0.2</v>
      </c>
      <c r="C2" s="16" t="n">
        <v>0.3</v>
      </c>
      <c r="D2" s="16" t="n">
        <v>0.2</v>
      </c>
      <c r="E2" s="16" t="n">
        <v>0.2</v>
      </c>
      <c r="F2" s="14"/>
    </row>
    <row r="3" customFormat="false" ht="15" hidden="false" customHeight="true" outlineLevel="0" collapsed="false">
      <c r="A3" s="11" t="s">
        <v>1210</v>
      </c>
      <c r="B3" s="16" t="n">
        <v>0.3</v>
      </c>
      <c r="C3" s="16" t="n">
        <v>0.25</v>
      </c>
      <c r="D3" s="16" t="n">
        <v>0</v>
      </c>
      <c r="E3" s="16" t="n">
        <v>0.15</v>
      </c>
      <c r="F3" s="14"/>
    </row>
    <row r="4" customFormat="false" ht="15" hidden="false" customHeight="true" outlineLevel="0" collapsed="false">
      <c r="A4" s="11" t="s">
        <v>752</v>
      </c>
      <c r="B4" s="16" t="n">
        <v>0</v>
      </c>
      <c r="C4" s="16" t="n">
        <v>0.2</v>
      </c>
      <c r="D4" s="16" t="n">
        <v>0.1</v>
      </c>
      <c r="E4" s="16" t="n">
        <v>0.1</v>
      </c>
      <c r="F4" s="14"/>
    </row>
    <row r="5" customFormat="false" ht="15" hidden="false" customHeight="true" outlineLevel="0" collapsed="false">
      <c r="A5" s="11" t="s">
        <v>1211</v>
      </c>
      <c r="B5" s="16" t="n">
        <v>0.25</v>
      </c>
      <c r="C5" s="16" t="n">
        <v>0</v>
      </c>
      <c r="D5" s="16" t="n">
        <v>0</v>
      </c>
      <c r="E5" s="16" t="n">
        <v>0.3</v>
      </c>
      <c r="F5" s="14"/>
    </row>
    <row r="6" customFormat="false" ht="15" hidden="false" customHeight="true" outlineLevel="0" collapsed="false">
      <c r="A6" s="11" t="s">
        <v>1212</v>
      </c>
      <c r="B6" s="16" t="n">
        <v>0.15</v>
      </c>
      <c r="C6" s="16" t="n">
        <v>0.15</v>
      </c>
      <c r="D6" s="16" t="n">
        <v>0.25</v>
      </c>
      <c r="E6" s="16" t="n">
        <v>0.25</v>
      </c>
      <c r="F6" s="14"/>
    </row>
    <row r="7" customFormat="false" ht="23.25" hidden="false" customHeight="true" outlineLevel="0" collapsed="false">
      <c r="A7" s="11" t="s">
        <v>1213</v>
      </c>
      <c r="B7" s="16" t="n">
        <v>0</v>
      </c>
      <c r="C7" s="16" t="n">
        <v>0</v>
      </c>
      <c r="D7" s="16" t="n">
        <v>0</v>
      </c>
      <c r="E7" s="16" t="n">
        <v>0</v>
      </c>
      <c r="F7" s="14" t="s">
        <v>1214</v>
      </c>
    </row>
    <row r="8" customFormat="false" ht="23.25" hidden="false" customHeight="true" outlineLevel="0" collapsed="false">
      <c r="A8" s="11" t="s">
        <v>1215</v>
      </c>
      <c r="B8" s="16" t="n">
        <v>0.1</v>
      </c>
      <c r="C8" s="16" t="n">
        <v>0.1</v>
      </c>
      <c r="D8" s="16" t="n">
        <v>0.25</v>
      </c>
      <c r="E8" s="16" t="n">
        <v>0</v>
      </c>
      <c r="F8" s="14" t="s">
        <v>1216</v>
      </c>
    </row>
    <row r="9" customFormat="false" ht="15" hidden="false" customHeight="true" outlineLevel="0" collapsed="false">
      <c r="A9" s="11" t="s">
        <v>1217</v>
      </c>
      <c r="B9" s="16" t="n">
        <v>0</v>
      </c>
      <c r="C9" s="16" t="n">
        <v>0</v>
      </c>
      <c r="D9" s="16" t="n">
        <v>0.2</v>
      </c>
      <c r="E9" s="16" t="n">
        <v>0</v>
      </c>
      <c r="F9" s="14"/>
    </row>
    <row r="10" customFormat="false" ht="15" hidden="false" customHeight="true" outlineLevel="0" collapsed="false">
      <c r="A10" s="15" t="s">
        <v>1218</v>
      </c>
      <c r="B10" s="17" t="n">
        <f aca="false">SUM(B2:B9)</f>
        <v>1</v>
      </c>
      <c r="C10" s="17" t="n">
        <f aca="false">SUM(C2:C9)</f>
        <v>1</v>
      </c>
      <c r="D10" s="17" t="n">
        <f aca="false">SUM(D2:D9)</f>
        <v>1</v>
      </c>
      <c r="E10" s="17" t="n">
        <f aca="false">SUM(E2:E9)</f>
        <v>1</v>
      </c>
      <c r="F10" s="11"/>
    </row>
    <row r="11" customFormat="false" ht="15" hidden="false" customHeight="true" outlineLevel="0" collapsed="false">
      <c r="A11" s="15" t="s">
        <v>1219</v>
      </c>
      <c r="B11" s="15" t="str">
        <f aca="false">IF(ROUND(B10,4)=1,"OK","FIX")</f>
        <v>OK</v>
      </c>
      <c r="C11" s="15" t="str">
        <f aca="false">IF(ROUND(C10,4)=1,"OK","FIX")</f>
        <v>OK</v>
      </c>
      <c r="D11" s="15" t="str">
        <f aca="false">IF(ROUND(D10,4)=1,"OK","FIX")</f>
        <v>OK</v>
      </c>
      <c r="E11" s="15" t="str">
        <f aca="false">IF(ROUND(E10,4)=1,"OK","FIX")</f>
        <v>OK</v>
      </c>
      <c r="F11" s="11"/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</row>
    <row r="13" customFormat="false" ht="45" hidden="false" customHeight="true" outlineLevel="0" collapsed="false">
      <c r="A13" s="18" t="s">
        <v>1220</v>
      </c>
      <c r="B13" s="18"/>
      <c r="C13" s="18"/>
      <c r="D13" s="18"/>
      <c r="E13" s="18"/>
      <c r="F13" s="18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32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30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3" min="12" style="1" width="15"/>
    <col collapsed="false" customWidth="true" hidden="false" outlineLevel="0" max="14" min="14" style="1" width="9"/>
    <col collapsed="false" customWidth="true" hidden="false" outlineLevel="0" max="17" min="15" style="1" width="11"/>
    <col collapsed="false" customWidth="true" hidden="false" outlineLevel="0" max="20" min="18" style="1" width="12"/>
    <col collapsed="false" customWidth="true" hidden="false" outlineLevel="0" max="22" min="21" style="1" width="30"/>
    <col collapsed="false" customWidth="true" hidden="false" outlineLevel="0" max="23" min="23" style="1" width="9"/>
    <col collapsed="false" customWidth="true" hidden="false" outlineLevel="0" max="24" min="24" style="1" width="10"/>
    <col collapsed="false" customWidth="true" hidden="false" outlineLevel="0" max="25" min="25" style="1" width="16"/>
    <col collapsed="false" customWidth="true" hidden="false" outlineLevel="0" max="26" min="26" style="1" width="55"/>
  </cols>
  <sheetData>
    <row r="1" customFormat="false" ht="34.5" hidden="false" customHeight="true" outlineLevel="0" collapsed="false">
      <c r="A1" s="10" t="s">
        <v>1221</v>
      </c>
      <c r="B1" s="10" t="s">
        <v>1222</v>
      </c>
      <c r="C1" s="10" t="s">
        <v>1223</v>
      </c>
      <c r="D1" s="10" t="s">
        <v>1224</v>
      </c>
      <c r="E1" s="10" t="s">
        <v>1225</v>
      </c>
      <c r="F1" s="10" t="s">
        <v>1226</v>
      </c>
      <c r="G1" s="10" t="s">
        <v>1227</v>
      </c>
      <c r="H1" s="10" t="s">
        <v>1228</v>
      </c>
      <c r="I1" s="10" t="s">
        <v>1229</v>
      </c>
      <c r="J1" s="10" t="s">
        <v>1230</v>
      </c>
      <c r="K1" s="10" t="s">
        <v>1231</v>
      </c>
      <c r="L1" s="10" t="s">
        <v>36</v>
      </c>
      <c r="M1" s="10" t="s">
        <v>1232</v>
      </c>
      <c r="N1" s="10" t="s">
        <v>1233</v>
      </c>
      <c r="O1" s="10" t="s">
        <v>1234</v>
      </c>
      <c r="P1" s="10" t="s">
        <v>1235</v>
      </c>
      <c r="Q1" s="10" t="s">
        <v>1236</v>
      </c>
      <c r="R1" s="10" t="s">
        <v>1237</v>
      </c>
      <c r="S1" s="10" t="s">
        <v>1238</v>
      </c>
      <c r="T1" s="10" t="s">
        <v>1239</v>
      </c>
      <c r="U1" s="10" t="s">
        <v>1240</v>
      </c>
      <c r="V1" s="10" t="s">
        <v>1241</v>
      </c>
      <c r="W1" s="10" t="s">
        <v>1242</v>
      </c>
      <c r="X1" s="10" t="s">
        <v>1243</v>
      </c>
      <c r="Y1" s="10" t="s">
        <v>1244</v>
      </c>
      <c r="Z1" s="10" t="s">
        <v>1245</v>
      </c>
    </row>
    <row r="2" customFormat="false" ht="15" hidden="false" customHeight="true" outlineLevel="0" collapsed="false">
      <c r="A2" s="11" t="n">
        <v>4</v>
      </c>
      <c r="B2" s="11" t="s">
        <v>1246</v>
      </c>
      <c r="C2" s="11" t="s">
        <v>1247</v>
      </c>
      <c r="D2" s="11" t="s">
        <v>1248</v>
      </c>
      <c r="E2" s="11" t="s">
        <v>1247</v>
      </c>
      <c r="F2" s="11" t="s">
        <v>860</v>
      </c>
      <c r="G2" s="11" t="s">
        <v>333</v>
      </c>
      <c r="H2" s="11" t="s">
        <v>334</v>
      </c>
      <c r="I2" s="11" t="s">
        <v>1249</v>
      </c>
      <c r="J2" s="11" t="s">
        <v>1250</v>
      </c>
      <c r="K2" s="19" t="n">
        <v>1</v>
      </c>
      <c r="L2" s="11" t="s">
        <v>96</v>
      </c>
      <c r="M2" s="11" t="s">
        <v>330</v>
      </c>
      <c r="N2" s="11" t="s">
        <v>1251</v>
      </c>
      <c r="O2" s="20" t="n">
        <v>46258</v>
      </c>
      <c r="P2" s="20" t="n">
        <v>46258</v>
      </c>
      <c r="Q2" s="20" t="n">
        <v>46258</v>
      </c>
      <c r="R2" s="11" t="s">
        <v>1252</v>
      </c>
      <c r="S2" s="11" t="s">
        <v>1252</v>
      </c>
      <c r="T2" s="11" t="str">
        <f aca="false">IF(P2="","No deadline",IF(Q2&lt;&gt;"",IF(Q2&gt;P2,"Late","On time"),IF(README!$B$4&gt;P2,"Overdue","Open")))</f>
        <v>On time</v>
      </c>
      <c r="U2" s="11"/>
      <c r="V2" s="11"/>
      <c r="W2" s="11"/>
      <c r="X2" s="11"/>
      <c r="Y2" s="11" t="str">
        <f aca="false">IF(AND(S2="Completed",P2&lt;&gt;"",Q2&lt;&gt;""),IF(AND(T2="Late",X2="Yes",W2="Yes"),"Excluded (validated delay)","Yes"),"No")</f>
        <v>Yes</v>
      </c>
      <c r="Z2" s="14"/>
    </row>
    <row r="3" customFormat="false" ht="15" hidden="false" customHeight="true" outlineLevel="0" collapsed="false">
      <c r="A3" s="11" t="n">
        <v>5</v>
      </c>
      <c r="B3" s="11" t="s">
        <v>1253</v>
      </c>
      <c r="C3" s="11" t="s">
        <v>1254</v>
      </c>
      <c r="D3" s="11" t="s">
        <v>1255</v>
      </c>
      <c r="E3" s="11" t="s">
        <v>1254</v>
      </c>
      <c r="F3" s="11" t="s">
        <v>860</v>
      </c>
      <c r="G3" s="11" t="s">
        <v>333</v>
      </c>
      <c r="H3" s="11" t="s">
        <v>334</v>
      </c>
      <c r="I3" s="11" t="s">
        <v>1249</v>
      </c>
      <c r="J3" s="11" t="s">
        <v>1250</v>
      </c>
      <c r="K3" s="19" t="n">
        <v>1</v>
      </c>
      <c r="L3" s="11" t="s">
        <v>96</v>
      </c>
      <c r="M3" s="11" t="s">
        <v>330</v>
      </c>
      <c r="N3" s="11" t="s">
        <v>1251</v>
      </c>
      <c r="O3" s="20" t="n">
        <v>46238</v>
      </c>
      <c r="P3" s="20" t="n">
        <v>46254</v>
      </c>
      <c r="Q3" s="20" t="n">
        <v>46254</v>
      </c>
      <c r="R3" s="11" t="s">
        <v>1252</v>
      </c>
      <c r="S3" s="11" t="s">
        <v>1252</v>
      </c>
      <c r="T3" s="11" t="str">
        <f aca="false">IF(P3="","No deadline",IF(Q3&lt;&gt;"",IF(Q3&gt;P3,"Late","On time"),IF(README!$B$4&gt;P3,"Overdue","Open")))</f>
        <v>On time</v>
      </c>
      <c r="U3" s="11"/>
      <c r="V3" s="11"/>
      <c r="W3" s="11"/>
      <c r="X3" s="11"/>
      <c r="Y3" s="11" t="str">
        <f aca="false">IF(AND(S3="Completed",P3&lt;&gt;"",Q3&lt;&gt;""),IF(AND(T3="Late",X3="Yes",W3="Yes"),"Excluded (validated delay)","Yes"),"No")</f>
        <v>Yes</v>
      </c>
      <c r="Z3" s="14"/>
    </row>
    <row r="4" customFormat="false" ht="15" hidden="false" customHeight="true" outlineLevel="0" collapsed="false">
      <c r="A4" s="11" t="n">
        <v>6</v>
      </c>
      <c r="B4" s="11" t="s">
        <v>1256</v>
      </c>
      <c r="C4" s="11" t="s">
        <v>1257</v>
      </c>
      <c r="D4" s="11" t="s">
        <v>1258</v>
      </c>
      <c r="E4" s="11" t="s">
        <v>1257</v>
      </c>
      <c r="F4" s="11" t="s">
        <v>860</v>
      </c>
      <c r="G4" s="11" t="s">
        <v>333</v>
      </c>
      <c r="H4" s="11" t="s">
        <v>334</v>
      </c>
      <c r="I4" s="11" t="s">
        <v>1249</v>
      </c>
      <c r="J4" s="11" t="s">
        <v>1250</v>
      </c>
      <c r="K4" s="19" t="n">
        <v>1</v>
      </c>
      <c r="L4" s="11" t="s">
        <v>96</v>
      </c>
      <c r="M4" s="11" t="s">
        <v>330</v>
      </c>
      <c r="N4" s="11" t="s">
        <v>1251</v>
      </c>
      <c r="O4" s="20" t="n">
        <v>46253</v>
      </c>
      <c r="P4" s="20" t="n">
        <v>46255</v>
      </c>
      <c r="Q4" s="20" t="n">
        <v>46255</v>
      </c>
      <c r="R4" s="11" t="s">
        <v>1252</v>
      </c>
      <c r="S4" s="11" t="s">
        <v>1252</v>
      </c>
      <c r="T4" s="11" t="str">
        <f aca="false">IF(P4="","No deadline",IF(Q4&lt;&gt;"",IF(Q4&gt;P4,"Late","On time"),IF(README!$B$4&gt;P4,"Overdue","Open")))</f>
        <v>On time</v>
      </c>
      <c r="U4" s="11"/>
      <c r="V4" s="11"/>
      <c r="W4" s="11"/>
      <c r="X4" s="11"/>
      <c r="Y4" s="11" t="str">
        <f aca="false">IF(AND(S4="Completed",P4&lt;&gt;"",Q4&lt;&gt;""),IF(AND(T4="Late",X4="Yes",W4="Yes"),"Excluded (validated delay)","Yes"),"No")</f>
        <v>Yes</v>
      </c>
      <c r="Z4" s="14"/>
    </row>
    <row r="5" customFormat="false" ht="23.25" hidden="false" customHeight="true" outlineLevel="0" collapsed="false">
      <c r="A5" s="11" t="n">
        <v>7</v>
      </c>
      <c r="B5" s="11" t="s">
        <v>1259</v>
      </c>
      <c r="C5" s="11" t="s">
        <v>1260</v>
      </c>
      <c r="D5" s="11" t="s">
        <v>1261</v>
      </c>
      <c r="E5" s="11" t="s">
        <v>1260</v>
      </c>
      <c r="F5" s="11" t="s">
        <v>860</v>
      </c>
      <c r="G5" s="11" t="s">
        <v>333</v>
      </c>
      <c r="H5" s="11" t="s">
        <v>334</v>
      </c>
      <c r="I5" s="11" t="s">
        <v>1249</v>
      </c>
      <c r="J5" s="11" t="s">
        <v>1250</v>
      </c>
      <c r="K5" s="19" t="n">
        <v>1</v>
      </c>
      <c r="L5" s="11" t="s">
        <v>96</v>
      </c>
      <c r="M5" s="11" t="s">
        <v>330</v>
      </c>
      <c r="N5" s="11" t="s">
        <v>1251</v>
      </c>
      <c r="O5" s="20" t="n">
        <v>46241</v>
      </c>
      <c r="P5" s="20" t="n">
        <v>46262</v>
      </c>
      <c r="Q5" s="20" t="n">
        <v>46242</v>
      </c>
      <c r="R5" s="11" t="s">
        <v>1262</v>
      </c>
      <c r="S5" s="11" t="s">
        <v>1262</v>
      </c>
      <c r="T5" s="11" t="str">
        <f aca="false">IF(P5="","No deadline",IF(Q5&lt;&gt;"",IF(Q5&gt;P5,"Late","On time"),IF(README!$B$4&gt;P5,"Overdue","Open")))</f>
        <v>On time</v>
      </c>
      <c r="U5" s="11" t="s">
        <v>1263</v>
      </c>
      <c r="V5" s="11" t="s">
        <v>1264</v>
      </c>
      <c r="W5" s="11" t="s">
        <v>1265</v>
      </c>
      <c r="X5" s="11" t="s">
        <v>1265</v>
      </c>
      <c r="Y5" s="11" t="str">
        <f aca="false">IF(AND(S5="Completed",P5&lt;&gt;"",Q5&lt;&gt;""),IF(AND(T5="Late",X5="Yes",W5="Yes"),"Excluded (validated delay)","Yes"),"No")</f>
        <v>No</v>
      </c>
      <c r="Z5" s="13" t="s">
        <v>1266</v>
      </c>
    </row>
    <row r="6" customFormat="false" ht="15" hidden="false" customHeight="true" outlineLevel="0" collapsed="false">
      <c r="A6" s="11" t="n">
        <v>8</v>
      </c>
      <c r="B6" s="11" t="s">
        <v>1267</v>
      </c>
      <c r="C6" s="11" t="s">
        <v>1268</v>
      </c>
      <c r="D6" s="11" t="s">
        <v>1269</v>
      </c>
      <c r="E6" s="11" t="s">
        <v>1268</v>
      </c>
      <c r="F6" s="11" t="s">
        <v>860</v>
      </c>
      <c r="G6" s="11" t="s">
        <v>333</v>
      </c>
      <c r="H6" s="11" t="s">
        <v>334</v>
      </c>
      <c r="I6" s="11" t="s">
        <v>1249</v>
      </c>
      <c r="J6" s="11" t="s">
        <v>1250</v>
      </c>
      <c r="K6" s="19" t="n">
        <v>1</v>
      </c>
      <c r="L6" s="11" t="s">
        <v>96</v>
      </c>
      <c r="M6" s="11" t="s">
        <v>330</v>
      </c>
      <c r="N6" s="11" t="s">
        <v>1270</v>
      </c>
      <c r="O6" s="20" t="n">
        <v>46275</v>
      </c>
      <c r="P6" s="20" t="n">
        <v>46283</v>
      </c>
      <c r="Q6" s="20"/>
      <c r="R6" s="11" t="s">
        <v>1262</v>
      </c>
      <c r="S6" s="11" t="s">
        <v>1262</v>
      </c>
      <c r="T6" s="11" t="str">
        <f aca="false">IF(P6="","No deadline",IF(Q6&lt;&gt;"",IF(Q6&gt;P6,"Late","On time"),IF(README!$B$4&gt;P6,"Overdue","Open")))</f>
        <v>Overdue</v>
      </c>
      <c r="U6" s="11" t="s">
        <v>1263</v>
      </c>
      <c r="V6" s="11" t="s">
        <v>1271</v>
      </c>
      <c r="W6" s="11" t="s">
        <v>1265</v>
      </c>
      <c r="X6" s="11" t="s">
        <v>1265</v>
      </c>
      <c r="Y6" s="11" t="str">
        <f aca="false">IF(AND(S6="Completed",P6&lt;&gt;"",Q6&lt;&gt;""),IF(AND(T6="Late",X6="Yes",W6="Yes"),"Excluded (validated delay)","Yes"),"No")</f>
        <v>No</v>
      </c>
      <c r="Z6" s="14"/>
    </row>
    <row r="7" customFormat="false" ht="15" hidden="false" customHeight="true" outlineLevel="0" collapsed="false">
      <c r="A7" s="11" t="n">
        <v>9</v>
      </c>
      <c r="B7" s="11" t="s">
        <v>1272</v>
      </c>
      <c r="C7" s="11" t="s">
        <v>1273</v>
      </c>
      <c r="D7" s="11" t="s">
        <v>1274</v>
      </c>
      <c r="E7" s="11" t="s">
        <v>1273</v>
      </c>
      <c r="F7" s="11" t="s">
        <v>342</v>
      </c>
      <c r="G7" s="11" t="s">
        <v>341</v>
      </c>
      <c r="H7" s="11" t="s">
        <v>342</v>
      </c>
      <c r="I7" s="11" t="s">
        <v>1249</v>
      </c>
      <c r="J7" s="11" t="s">
        <v>1250</v>
      </c>
      <c r="K7" s="19" t="n">
        <v>1</v>
      </c>
      <c r="L7" s="11" t="s">
        <v>96</v>
      </c>
      <c r="M7" s="11" t="s">
        <v>330</v>
      </c>
      <c r="N7" s="11" t="s">
        <v>1251</v>
      </c>
      <c r="O7" s="20" t="n">
        <v>46244</v>
      </c>
      <c r="P7" s="20" t="n">
        <v>46248</v>
      </c>
      <c r="Q7" s="20"/>
      <c r="R7" s="11" t="s">
        <v>1275</v>
      </c>
      <c r="S7" s="11" t="s">
        <v>1275</v>
      </c>
      <c r="T7" s="11" t="str">
        <f aca="false">IF(P7="","No deadline",IF(Q7&lt;&gt;"",IF(Q7&gt;P7,"Late","On time"),IF(README!$B$4&gt;P7,"Overdue","Open")))</f>
        <v>Overdue</v>
      </c>
      <c r="U7" s="11" t="s">
        <v>1276</v>
      </c>
      <c r="V7" s="11" t="s">
        <v>1277</v>
      </c>
      <c r="W7" s="11" t="s">
        <v>1265</v>
      </c>
      <c r="X7" s="11" t="s">
        <v>1278</v>
      </c>
      <c r="Y7" s="11" t="str">
        <f aca="false">IF(AND(S7="Completed",P7&lt;&gt;"",Q7&lt;&gt;""),IF(AND(T7="Late",X7="Yes",W7="Yes"),"Excluded (validated delay)","Yes"),"No")</f>
        <v>No</v>
      </c>
      <c r="Z7" s="14"/>
    </row>
    <row r="8" customFormat="false" ht="23.25" hidden="false" customHeight="true" outlineLevel="0" collapsed="false">
      <c r="A8" s="11" t="n">
        <v>10</v>
      </c>
      <c r="B8" s="11" t="s">
        <v>1279</v>
      </c>
      <c r="C8" s="11" t="s">
        <v>1280</v>
      </c>
      <c r="D8" s="11" t="s">
        <v>1281</v>
      </c>
      <c r="E8" s="11" t="s">
        <v>1280</v>
      </c>
      <c r="F8" s="11" t="s">
        <v>342</v>
      </c>
      <c r="G8" s="11" t="s">
        <v>341</v>
      </c>
      <c r="H8" s="11" t="s">
        <v>342</v>
      </c>
      <c r="I8" s="11" t="s">
        <v>1249</v>
      </c>
      <c r="J8" s="11" t="s">
        <v>1250</v>
      </c>
      <c r="K8" s="19" t="n">
        <v>1</v>
      </c>
      <c r="L8" s="11" t="s">
        <v>96</v>
      </c>
      <c r="M8" s="11" t="s">
        <v>330</v>
      </c>
      <c r="N8" s="11" t="s">
        <v>1251</v>
      </c>
      <c r="O8" s="20" t="n">
        <v>46254</v>
      </c>
      <c r="P8" s="20" t="n">
        <v>46258</v>
      </c>
      <c r="Q8" s="20" t="n">
        <v>46260</v>
      </c>
      <c r="R8" s="11" t="s">
        <v>1275</v>
      </c>
      <c r="S8" s="11" t="s">
        <v>1275</v>
      </c>
      <c r="T8" s="11" t="str">
        <f aca="false">IF(P8="","No deadline",IF(Q8&lt;&gt;"",IF(Q8&gt;P8,"Late","On time"),IF(README!$B$4&gt;P8,"Overdue","Open")))</f>
        <v>Late</v>
      </c>
      <c r="U8" s="11"/>
      <c r="V8" s="11"/>
      <c r="W8" s="11"/>
      <c r="X8" s="11"/>
      <c r="Y8" s="11" t="str">
        <f aca="false">IF(AND(S8="Completed",P8&lt;&gt;"",Q8&lt;&gt;""),IF(AND(T8="Late",X8="Yes",W8="Yes"),"Excluded (validated delay)","Yes"),"No")</f>
        <v>No</v>
      </c>
      <c r="Z8" s="13" t="s">
        <v>1282</v>
      </c>
    </row>
    <row r="9" customFormat="false" ht="15" hidden="false" customHeight="true" outlineLevel="0" collapsed="false">
      <c r="A9" s="11" t="n">
        <v>11</v>
      </c>
      <c r="B9" s="11" t="s">
        <v>1283</v>
      </c>
      <c r="C9" s="11" t="s">
        <v>1284</v>
      </c>
      <c r="D9" s="11" t="s">
        <v>1285</v>
      </c>
      <c r="E9" s="11" t="s">
        <v>1284</v>
      </c>
      <c r="F9" s="11" t="s">
        <v>1286</v>
      </c>
      <c r="G9" s="11" t="s">
        <v>337</v>
      </c>
      <c r="H9" s="11" t="s">
        <v>338</v>
      </c>
      <c r="I9" s="11" t="s">
        <v>1287</v>
      </c>
      <c r="J9" s="11" t="s">
        <v>1250</v>
      </c>
      <c r="K9" s="19" t="n">
        <v>1</v>
      </c>
      <c r="L9" s="11" t="s">
        <v>96</v>
      </c>
      <c r="M9" s="11" t="s">
        <v>330</v>
      </c>
      <c r="N9" s="11" t="s">
        <v>1251</v>
      </c>
      <c r="O9" s="20" t="n">
        <v>46249</v>
      </c>
      <c r="P9" s="20" t="n">
        <v>46258</v>
      </c>
      <c r="Q9" s="20"/>
      <c r="R9" s="11" t="s">
        <v>1275</v>
      </c>
      <c r="S9" s="11" t="s">
        <v>1275</v>
      </c>
      <c r="T9" s="11" t="str">
        <f aca="false">IF(P9="","No deadline",IF(Q9&lt;&gt;"",IF(Q9&gt;P9,"Late","On time"),IF(README!$B$4&gt;P9,"Overdue","Open")))</f>
        <v>Overdue</v>
      </c>
      <c r="U9" s="11"/>
      <c r="V9" s="11"/>
      <c r="W9" s="11"/>
      <c r="X9" s="11"/>
      <c r="Y9" s="11" t="str">
        <f aca="false">IF(AND(S9="Completed",P9&lt;&gt;"",Q9&lt;&gt;""),IF(AND(T9="Late",X9="Yes",W9="Yes"),"Excluded (validated delay)","Yes"),"No")</f>
        <v>No</v>
      </c>
      <c r="Z9" s="14"/>
    </row>
    <row r="10" customFormat="false" ht="15" hidden="false" customHeight="true" outlineLevel="0" collapsed="false">
      <c r="A10" s="11" t="n">
        <v>12</v>
      </c>
      <c r="B10" s="11" t="s">
        <v>1288</v>
      </c>
      <c r="C10" s="11" t="s">
        <v>1289</v>
      </c>
      <c r="D10" s="11" t="s">
        <v>1290</v>
      </c>
      <c r="E10" s="11" t="s">
        <v>1289</v>
      </c>
      <c r="F10" s="11" t="s">
        <v>1286</v>
      </c>
      <c r="G10" s="11" t="s">
        <v>337</v>
      </c>
      <c r="H10" s="11" t="s">
        <v>338</v>
      </c>
      <c r="I10" s="11" t="s">
        <v>1287</v>
      </c>
      <c r="J10" s="11" t="s">
        <v>1250</v>
      </c>
      <c r="K10" s="19" t="n">
        <v>1</v>
      </c>
      <c r="L10" s="11" t="s">
        <v>96</v>
      </c>
      <c r="M10" s="11" t="s">
        <v>330</v>
      </c>
      <c r="N10" s="11" t="s">
        <v>1251</v>
      </c>
      <c r="O10" s="20" t="n">
        <v>46250</v>
      </c>
      <c r="P10" s="20" t="n">
        <v>46259</v>
      </c>
      <c r="Q10" s="20"/>
      <c r="R10" s="11" t="s">
        <v>1275</v>
      </c>
      <c r="S10" s="11" t="s">
        <v>1275</v>
      </c>
      <c r="T10" s="11" t="str">
        <f aca="false">IF(P10="","No deadline",IF(Q10&lt;&gt;"",IF(Q10&gt;P10,"Late","On time"),IF(README!$B$4&gt;P10,"Overdue","Open")))</f>
        <v>Overdue</v>
      </c>
      <c r="U10" s="11"/>
      <c r="V10" s="11"/>
      <c r="W10" s="11"/>
      <c r="X10" s="11"/>
      <c r="Y10" s="11" t="str">
        <f aca="false">IF(AND(S10="Completed",P10&lt;&gt;"",Q10&lt;&gt;""),IF(AND(T10="Late",X10="Yes",W10="Yes"),"Excluded (validated delay)","Yes"),"No")</f>
        <v>No</v>
      </c>
      <c r="Z10" s="14"/>
    </row>
    <row r="11" customFormat="false" ht="15" hidden="false" customHeight="true" outlineLevel="0" collapsed="false">
      <c r="A11" s="11" t="n">
        <v>13</v>
      </c>
      <c r="B11" s="11" t="s">
        <v>1291</v>
      </c>
      <c r="C11" s="11" t="s">
        <v>1292</v>
      </c>
      <c r="D11" s="11" t="s">
        <v>1293</v>
      </c>
      <c r="E11" s="11" t="s">
        <v>1292</v>
      </c>
      <c r="F11" s="11" t="s">
        <v>1286</v>
      </c>
      <c r="G11" s="11" t="s">
        <v>337</v>
      </c>
      <c r="H11" s="11" t="s">
        <v>338</v>
      </c>
      <c r="I11" s="11" t="s">
        <v>1287</v>
      </c>
      <c r="J11" s="11" t="s">
        <v>1250</v>
      </c>
      <c r="K11" s="19" t="n">
        <v>1</v>
      </c>
      <c r="L11" s="11" t="s">
        <v>96</v>
      </c>
      <c r="M11" s="11" t="s">
        <v>330</v>
      </c>
      <c r="N11" s="11" t="s">
        <v>1251</v>
      </c>
      <c r="O11" s="20" t="n">
        <v>46251</v>
      </c>
      <c r="P11" s="20" t="n">
        <v>46260</v>
      </c>
      <c r="Q11" s="20"/>
      <c r="R11" s="11" t="s">
        <v>1275</v>
      </c>
      <c r="S11" s="11" t="s">
        <v>1275</v>
      </c>
      <c r="T11" s="11" t="str">
        <f aca="false">IF(P11="","No deadline",IF(Q11&lt;&gt;"",IF(Q11&gt;P11,"Late","On time"),IF(README!$B$4&gt;P11,"Overdue","Open")))</f>
        <v>Overdue</v>
      </c>
      <c r="U11" s="11"/>
      <c r="V11" s="11"/>
      <c r="W11" s="11"/>
      <c r="X11" s="11"/>
      <c r="Y11" s="11" t="str">
        <f aca="false">IF(AND(S11="Completed",P11&lt;&gt;"",Q11&lt;&gt;""),IF(AND(T11="Late",X11="Yes",W11="Yes"),"Excluded (validated delay)","Yes"),"No")</f>
        <v>No</v>
      </c>
      <c r="Z11" s="14"/>
    </row>
    <row r="12" customFormat="false" ht="15" hidden="false" customHeight="true" outlineLevel="0" collapsed="false">
      <c r="A12" s="11" t="n">
        <v>14</v>
      </c>
      <c r="B12" s="11" t="s">
        <v>1294</v>
      </c>
      <c r="C12" s="11" t="s">
        <v>1295</v>
      </c>
      <c r="D12" s="11" t="s">
        <v>1296</v>
      </c>
      <c r="E12" s="11" t="s">
        <v>1295</v>
      </c>
      <c r="F12" s="11" t="s">
        <v>1286</v>
      </c>
      <c r="G12" s="11" t="s">
        <v>337</v>
      </c>
      <c r="H12" s="11" t="s">
        <v>338</v>
      </c>
      <c r="I12" s="11" t="s">
        <v>1287</v>
      </c>
      <c r="J12" s="11" t="s">
        <v>1250</v>
      </c>
      <c r="K12" s="19" t="n">
        <v>1</v>
      </c>
      <c r="L12" s="11" t="s">
        <v>96</v>
      </c>
      <c r="M12" s="11" t="s">
        <v>330</v>
      </c>
      <c r="N12" s="11" t="s">
        <v>1251</v>
      </c>
      <c r="O12" s="20" t="n">
        <v>46252</v>
      </c>
      <c r="P12" s="20" t="n">
        <v>46261</v>
      </c>
      <c r="Q12" s="20"/>
      <c r="R12" s="11" t="s">
        <v>1275</v>
      </c>
      <c r="S12" s="11" t="s">
        <v>1275</v>
      </c>
      <c r="T12" s="11" t="str">
        <f aca="false">IF(P12="","No deadline",IF(Q12&lt;&gt;"",IF(Q12&gt;P12,"Late","On time"),IF(README!$B$4&gt;P12,"Overdue","Open")))</f>
        <v>Overdue</v>
      </c>
      <c r="U12" s="11"/>
      <c r="V12" s="11"/>
      <c r="W12" s="11"/>
      <c r="X12" s="11"/>
      <c r="Y12" s="11" t="str">
        <f aca="false">IF(AND(S12="Completed",P12&lt;&gt;"",Q12&lt;&gt;""),IF(AND(T12="Late",X12="Yes",W12="Yes"),"Excluded (validated delay)","Yes"),"No")</f>
        <v>No</v>
      </c>
      <c r="Z12" s="14"/>
    </row>
    <row r="13" customFormat="false" ht="15" hidden="false" customHeight="true" outlineLevel="0" collapsed="false">
      <c r="A13" s="11" t="n">
        <v>15</v>
      </c>
      <c r="B13" s="11" t="s">
        <v>1297</v>
      </c>
      <c r="C13" s="11" t="s">
        <v>1298</v>
      </c>
      <c r="D13" s="11" t="s">
        <v>1299</v>
      </c>
      <c r="E13" s="11" t="s">
        <v>1298</v>
      </c>
      <c r="F13" s="11" t="s">
        <v>1286</v>
      </c>
      <c r="G13" s="11" t="s">
        <v>337</v>
      </c>
      <c r="H13" s="11" t="s">
        <v>338</v>
      </c>
      <c r="I13" s="11" t="s">
        <v>1287</v>
      </c>
      <c r="J13" s="11" t="s">
        <v>1250</v>
      </c>
      <c r="K13" s="19" t="n">
        <v>1</v>
      </c>
      <c r="L13" s="11" t="s">
        <v>96</v>
      </c>
      <c r="M13" s="11" t="s">
        <v>330</v>
      </c>
      <c r="N13" s="11" t="s">
        <v>1251</v>
      </c>
      <c r="O13" s="20" t="n">
        <v>46253</v>
      </c>
      <c r="P13" s="20" t="n">
        <v>46262</v>
      </c>
      <c r="Q13" s="20"/>
      <c r="R13" s="11" t="s">
        <v>1275</v>
      </c>
      <c r="S13" s="11" t="s">
        <v>1275</v>
      </c>
      <c r="T13" s="11" t="str">
        <f aca="false">IF(P13="","No deadline",IF(Q13&lt;&gt;"",IF(Q13&gt;P13,"Late","On time"),IF(README!$B$4&gt;P13,"Overdue","Open")))</f>
        <v>Overdue</v>
      </c>
      <c r="U13" s="11"/>
      <c r="V13" s="11"/>
      <c r="W13" s="11"/>
      <c r="X13" s="11"/>
      <c r="Y13" s="11" t="str">
        <f aca="false">IF(AND(S13="Completed",P13&lt;&gt;"",Q13&lt;&gt;""),IF(AND(T13="Late",X13="Yes",W13="Yes"),"Excluded (validated delay)","Yes"),"No")</f>
        <v>No</v>
      </c>
      <c r="Z13" s="14"/>
    </row>
    <row r="14" customFormat="false" ht="23.25" hidden="false" customHeight="true" outlineLevel="0" collapsed="false">
      <c r="A14" s="11" t="n">
        <v>16</v>
      </c>
      <c r="B14" s="11" t="s">
        <v>1300</v>
      </c>
      <c r="C14" s="11" t="s">
        <v>1301</v>
      </c>
      <c r="D14" s="11" t="s">
        <v>1302</v>
      </c>
      <c r="E14" s="11" t="s">
        <v>1301</v>
      </c>
      <c r="F14" s="11" t="s">
        <v>1286</v>
      </c>
      <c r="G14" s="11" t="s">
        <v>337</v>
      </c>
      <c r="H14" s="11" t="s">
        <v>338</v>
      </c>
      <c r="I14" s="11" t="s">
        <v>1287</v>
      </c>
      <c r="J14" s="11" t="s">
        <v>1250</v>
      </c>
      <c r="K14" s="19" t="n">
        <v>1</v>
      </c>
      <c r="L14" s="11" t="s">
        <v>96</v>
      </c>
      <c r="M14" s="11" t="s">
        <v>330</v>
      </c>
      <c r="N14" s="11" t="s">
        <v>1251</v>
      </c>
      <c r="O14" s="20" t="n">
        <v>46174</v>
      </c>
      <c r="P14" s="20" t="n">
        <v>46265</v>
      </c>
      <c r="Q14" s="20" t="n">
        <v>46255</v>
      </c>
      <c r="R14" s="11" t="s">
        <v>1262</v>
      </c>
      <c r="S14" s="11" t="s">
        <v>1262</v>
      </c>
      <c r="T14" s="11" t="str">
        <f aca="false">IF(P14="","No deadline",IF(Q14&lt;&gt;"",IF(Q14&gt;P14,"Late","On time"),IF(README!$B$4&gt;P14,"Overdue","Open")))</f>
        <v>On time</v>
      </c>
      <c r="U14" s="11" t="s">
        <v>1303</v>
      </c>
      <c r="V14" s="11" t="s">
        <v>1304</v>
      </c>
      <c r="W14" s="11" t="s">
        <v>1265</v>
      </c>
      <c r="X14" s="11" t="s">
        <v>1265</v>
      </c>
      <c r="Y14" s="11" t="str">
        <f aca="false">IF(AND(S14="Completed",P14&lt;&gt;"",Q14&lt;&gt;""),IF(AND(T14="Late",X14="Yes",W14="Yes"),"Excluded (validated delay)","Yes"),"No")</f>
        <v>No</v>
      </c>
      <c r="Z14" s="13" t="s">
        <v>1266</v>
      </c>
    </row>
    <row r="15" customFormat="false" ht="15" hidden="false" customHeight="true" outlineLevel="0" collapsed="false">
      <c r="A15" s="11" t="n">
        <v>17</v>
      </c>
      <c r="B15" s="11" t="s">
        <v>1305</v>
      </c>
      <c r="C15" s="11" t="s">
        <v>1306</v>
      </c>
      <c r="D15" s="11" t="s">
        <v>1307</v>
      </c>
      <c r="E15" s="11" t="s">
        <v>1306</v>
      </c>
      <c r="F15" s="11" t="s">
        <v>1286</v>
      </c>
      <c r="G15" s="11" t="s">
        <v>337</v>
      </c>
      <c r="H15" s="11" t="s">
        <v>338</v>
      </c>
      <c r="I15" s="11" t="s">
        <v>1287</v>
      </c>
      <c r="J15" s="11" t="s">
        <v>1250</v>
      </c>
      <c r="K15" s="19" t="n">
        <v>1</v>
      </c>
      <c r="L15" s="11" t="s">
        <v>96</v>
      </c>
      <c r="M15" s="11" t="s">
        <v>330</v>
      </c>
      <c r="N15" s="11" t="s">
        <v>1251</v>
      </c>
      <c r="O15" s="20" t="n">
        <v>46261</v>
      </c>
      <c r="P15" s="20" t="n">
        <v>46272</v>
      </c>
      <c r="Q15" s="20"/>
      <c r="R15" s="11" t="s">
        <v>1308</v>
      </c>
      <c r="S15" s="11" t="s">
        <v>1309</v>
      </c>
      <c r="T15" s="11" t="str">
        <f aca="false">IF(P15="","No deadline",IF(Q15&lt;&gt;"",IF(Q15&gt;P15,"Late","On time"),IF(README!$B$4&gt;P15,"Overdue","Open")))</f>
        <v>Overdue</v>
      </c>
      <c r="U15" s="11"/>
      <c r="V15" s="11"/>
      <c r="W15" s="11"/>
      <c r="X15" s="11"/>
      <c r="Y15" s="11" t="str">
        <f aca="false">IF(AND(S15="Completed",P15&lt;&gt;"",Q15&lt;&gt;""),IF(AND(T15="Late",X15="Yes",W15="Yes"),"Excluded (validated delay)","Yes"),"No")</f>
        <v>No</v>
      </c>
      <c r="Z15" s="14"/>
    </row>
    <row r="16" customFormat="false" ht="15" hidden="false" customHeight="true" outlineLevel="0" collapsed="false">
      <c r="A16" s="11" t="n">
        <v>18</v>
      </c>
      <c r="B16" s="11" t="s">
        <v>1310</v>
      </c>
      <c r="C16" s="11" t="s">
        <v>1311</v>
      </c>
      <c r="D16" s="11" t="s">
        <v>1312</v>
      </c>
      <c r="E16" s="11" t="s">
        <v>1311</v>
      </c>
      <c r="F16" s="11" t="s">
        <v>1286</v>
      </c>
      <c r="G16" s="11" t="s">
        <v>337</v>
      </c>
      <c r="H16" s="11" t="s">
        <v>338</v>
      </c>
      <c r="I16" s="11" t="s">
        <v>1287</v>
      </c>
      <c r="J16" s="11" t="s">
        <v>1250</v>
      </c>
      <c r="K16" s="19" t="n">
        <v>1</v>
      </c>
      <c r="L16" s="11" t="s">
        <v>96</v>
      </c>
      <c r="M16" s="11" t="s">
        <v>330</v>
      </c>
      <c r="N16" s="11" t="s">
        <v>1251</v>
      </c>
      <c r="O16" s="20" t="n">
        <v>46261</v>
      </c>
      <c r="P16" s="20" t="n">
        <v>46261</v>
      </c>
      <c r="Q16" s="20"/>
      <c r="R16" s="11" t="s">
        <v>1262</v>
      </c>
      <c r="S16" s="11" t="s">
        <v>1262</v>
      </c>
      <c r="T16" s="11" t="str">
        <f aca="false">IF(P16="","No deadline",IF(Q16&lt;&gt;"",IF(Q16&gt;P16,"Late","On time"),IF(README!$B$4&gt;P16,"Overdue","Open")))</f>
        <v>Overdue</v>
      </c>
      <c r="U16" s="11" t="s">
        <v>1263</v>
      </c>
      <c r="V16" s="11" t="s">
        <v>1313</v>
      </c>
      <c r="W16" s="11" t="s">
        <v>1265</v>
      </c>
      <c r="X16" s="11" t="s">
        <v>1265</v>
      </c>
      <c r="Y16" s="11" t="str">
        <f aca="false">IF(AND(S16="Completed",P16&lt;&gt;"",Q16&lt;&gt;""),IF(AND(T16="Late",X16="Yes",W16="Yes"),"Excluded (validated delay)","Yes"),"No")</f>
        <v>No</v>
      </c>
      <c r="Z16" s="14"/>
    </row>
    <row r="17" customFormat="false" ht="15" hidden="false" customHeight="true" outlineLevel="0" collapsed="false">
      <c r="A17" s="11" t="n">
        <v>19</v>
      </c>
      <c r="B17" s="11" t="s">
        <v>1314</v>
      </c>
      <c r="C17" s="11" t="s">
        <v>1315</v>
      </c>
      <c r="D17" s="11" t="s">
        <v>1316</v>
      </c>
      <c r="E17" s="11" t="s">
        <v>1315</v>
      </c>
      <c r="F17" s="11" t="s">
        <v>342</v>
      </c>
      <c r="G17" s="11" t="s">
        <v>341</v>
      </c>
      <c r="H17" s="11" t="s">
        <v>342</v>
      </c>
      <c r="I17" s="11" t="s">
        <v>1249</v>
      </c>
      <c r="J17" s="11" t="s">
        <v>1250</v>
      </c>
      <c r="K17" s="19" t="n">
        <v>1</v>
      </c>
      <c r="L17" s="11" t="s">
        <v>96</v>
      </c>
      <c r="M17" s="11" t="s">
        <v>330</v>
      </c>
      <c r="N17" s="11" t="s">
        <v>1251</v>
      </c>
      <c r="O17" s="20" t="n">
        <v>46259</v>
      </c>
      <c r="P17" s="20" t="n">
        <v>46259</v>
      </c>
      <c r="Q17" s="20" t="n">
        <v>46259</v>
      </c>
      <c r="R17" s="11" t="s">
        <v>1252</v>
      </c>
      <c r="S17" s="11" t="s">
        <v>1252</v>
      </c>
      <c r="T17" s="11" t="str">
        <f aca="false">IF(P17="","No deadline",IF(Q17&lt;&gt;"",IF(Q17&gt;P17,"Late","On time"),IF(README!$B$4&gt;P17,"Overdue","Open")))</f>
        <v>On time</v>
      </c>
      <c r="U17" s="11"/>
      <c r="V17" s="11"/>
      <c r="W17" s="11"/>
      <c r="X17" s="11"/>
      <c r="Y17" s="11" t="str">
        <f aca="false">IF(AND(S17="Completed",P17&lt;&gt;"",Q17&lt;&gt;""),IF(AND(T17="Late",X17="Yes",W17="Yes"),"Excluded (validated delay)","Yes"),"No")</f>
        <v>Yes</v>
      </c>
      <c r="Z17" s="14"/>
    </row>
    <row r="18" customFormat="false" ht="23.25" hidden="false" customHeight="true" outlineLevel="0" collapsed="false">
      <c r="A18" s="11" t="n">
        <v>20</v>
      </c>
      <c r="B18" s="11" t="s">
        <v>1317</v>
      </c>
      <c r="C18" s="11" t="s">
        <v>1318</v>
      </c>
      <c r="D18" s="11" t="s">
        <v>1319</v>
      </c>
      <c r="E18" s="11" t="s">
        <v>1318</v>
      </c>
      <c r="F18" s="11" t="s">
        <v>860</v>
      </c>
      <c r="G18" s="11" t="s">
        <v>333</v>
      </c>
      <c r="H18" s="11" t="s">
        <v>334</v>
      </c>
      <c r="I18" s="11" t="s">
        <v>1249</v>
      </c>
      <c r="J18" s="11" t="s">
        <v>1250</v>
      </c>
      <c r="K18" s="19" t="n">
        <v>1</v>
      </c>
      <c r="L18" s="11" t="s">
        <v>96</v>
      </c>
      <c r="M18" s="11" t="s">
        <v>330</v>
      </c>
      <c r="N18" s="11" t="s">
        <v>1251</v>
      </c>
      <c r="O18" s="20" t="n">
        <v>46245</v>
      </c>
      <c r="P18" s="20" t="n">
        <v>46248</v>
      </c>
      <c r="Q18" s="20" t="n">
        <v>46266</v>
      </c>
      <c r="R18" s="11" t="s">
        <v>1262</v>
      </c>
      <c r="S18" s="11" t="s">
        <v>1262</v>
      </c>
      <c r="T18" s="11" t="str">
        <f aca="false">IF(P18="","No deadline",IF(Q18&lt;&gt;"",IF(Q18&gt;P18,"Late","On time"),IF(README!$B$4&gt;P18,"Overdue","Open")))</f>
        <v>Late</v>
      </c>
      <c r="U18" s="11" t="s">
        <v>1263</v>
      </c>
      <c r="V18" s="11" t="s">
        <v>1271</v>
      </c>
      <c r="W18" s="11" t="s">
        <v>1265</v>
      </c>
      <c r="X18" s="11" t="s">
        <v>1265</v>
      </c>
      <c r="Y18" s="11" t="str">
        <f aca="false">IF(AND(S18="Completed",P18&lt;&gt;"",Q18&lt;&gt;""),IF(AND(T18="Late",X18="Yes",W18="Yes"),"Excluded (validated delay)","Yes"),"No")</f>
        <v>No</v>
      </c>
      <c r="Z18" s="13" t="s">
        <v>1266</v>
      </c>
    </row>
    <row r="19" customFormat="false" ht="23.25" hidden="false" customHeight="true" outlineLevel="0" collapsed="false">
      <c r="A19" s="11" t="n">
        <v>21</v>
      </c>
      <c r="B19" s="11" t="s">
        <v>1320</v>
      </c>
      <c r="C19" s="11" t="s">
        <v>1321</v>
      </c>
      <c r="D19" s="11" t="s">
        <v>1322</v>
      </c>
      <c r="E19" s="11" t="s">
        <v>1321</v>
      </c>
      <c r="F19" s="11" t="s">
        <v>860</v>
      </c>
      <c r="G19" s="11" t="s">
        <v>333</v>
      </c>
      <c r="H19" s="11" t="s">
        <v>334</v>
      </c>
      <c r="I19" s="11" t="s">
        <v>1249</v>
      </c>
      <c r="J19" s="11" t="s">
        <v>1250</v>
      </c>
      <c r="K19" s="19" t="n">
        <v>1</v>
      </c>
      <c r="L19" s="11" t="s">
        <v>96</v>
      </c>
      <c r="M19" s="11" t="s">
        <v>330</v>
      </c>
      <c r="N19" s="11" t="s">
        <v>1251</v>
      </c>
      <c r="O19" s="20" t="n">
        <v>46237</v>
      </c>
      <c r="P19" s="20" t="n">
        <v>46237</v>
      </c>
      <c r="Q19" s="20"/>
      <c r="R19" s="11" t="s">
        <v>1252</v>
      </c>
      <c r="S19" s="11" t="s">
        <v>1275</v>
      </c>
      <c r="T19" s="11" t="str">
        <f aca="false">IF(P19="","No deadline",IF(Q19&lt;&gt;"",IF(Q19&gt;P19,"Late","On time"),IF(README!$B$4&gt;P19,"Overdue","Open")))</f>
        <v>Overdue</v>
      </c>
      <c r="U19" s="11"/>
      <c r="V19" s="11"/>
      <c r="W19" s="11"/>
      <c r="X19" s="11"/>
      <c r="Y19" s="11" t="str">
        <f aca="false">IF(AND(S19="Completed",P19&lt;&gt;"",Q19&lt;&gt;""),IF(AND(T19="Late",X19="Yes",W19="Yes"),"Excluded (validated delay)","Yes"),"No")</f>
        <v>No</v>
      </c>
      <c r="Z19" s="13" t="s">
        <v>1323</v>
      </c>
    </row>
    <row r="20" customFormat="false" ht="23.25" hidden="false" customHeight="true" outlineLevel="0" collapsed="false">
      <c r="A20" s="11" t="n">
        <v>22</v>
      </c>
      <c r="B20" s="11" t="s">
        <v>1324</v>
      </c>
      <c r="C20" s="11" t="s">
        <v>1325</v>
      </c>
      <c r="D20" s="11" t="s">
        <v>1326</v>
      </c>
      <c r="E20" s="11" t="s">
        <v>1325</v>
      </c>
      <c r="F20" s="11" t="s">
        <v>860</v>
      </c>
      <c r="G20" s="11" t="s">
        <v>333</v>
      </c>
      <c r="H20" s="11" t="s">
        <v>334</v>
      </c>
      <c r="I20" s="11" t="s">
        <v>1249</v>
      </c>
      <c r="J20" s="11" t="s">
        <v>1250</v>
      </c>
      <c r="K20" s="19" t="n">
        <v>1</v>
      </c>
      <c r="L20" s="11" t="s">
        <v>96</v>
      </c>
      <c r="M20" s="11" t="s">
        <v>330</v>
      </c>
      <c r="N20" s="11" t="s">
        <v>1251</v>
      </c>
      <c r="O20" s="20" t="n">
        <v>46205</v>
      </c>
      <c r="P20" s="20" t="n">
        <v>46234</v>
      </c>
      <c r="Q20" s="20" t="n">
        <v>46266</v>
      </c>
      <c r="R20" s="11" t="s">
        <v>1275</v>
      </c>
      <c r="S20" s="11" t="s">
        <v>1275</v>
      </c>
      <c r="T20" s="11" t="str">
        <f aca="false">IF(P20="","No deadline",IF(Q20&lt;&gt;"",IF(Q20&gt;P20,"Late","On time"),IF(README!$B$4&gt;P20,"Overdue","Open")))</f>
        <v>Late</v>
      </c>
      <c r="U20" s="11" t="s">
        <v>1327</v>
      </c>
      <c r="V20" s="11" t="s">
        <v>1328</v>
      </c>
      <c r="W20" s="11" t="s">
        <v>1265</v>
      </c>
      <c r="X20" s="11" t="s">
        <v>1265</v>
      </c>
      <c r="Y20" s="11" t="str">
        <f aca="false">IF(AND(S20="Completed",P20&lt;&gt;"",Q20&lt;&gt;""),IF(AND(T20="Late",X20="Yes",W20="Yes"),"Excluded (validated delay)","Yes"),"No")</f>
        <v>No</v>
      </c>
      <c r="Z20" s="13" t="s">
        <v>1282</v>
      </c>
    </row>
    <row r="21" customFormat="false" ht="15" hidden="false" customHeight="true" outlineLevel="0" collapsed="false">
      <c r="A21" s="11" t="n">
        <v>23</v>
      </c>
      <c r="B21" s="11" t="s">
        <v>1329</v>
      </c>
      <c r="C21" s="11" t="s">
        <v>1330</v>
      </c>
      <c r="D21" s="11" t="s">
        <v>1331</v>
      </c>
      <c r="E21" s="11" t="s">
        <v>1330</v>
      </c>
      <c r="F21" s="11" t="s">
        <v>860</v>
      </c>
      <c r="G21" s="11" t="s">
        <v>333</v>
      </c>
      <c r="H21" s="11" t="s">
        <v>334</v>
      </c>
      <c r="I21" s="11" t="s">
        <v>1249</v>
      </c>
      <c r="J21" s="11" t="s">
        <v>1250</v>
      </c>
      <c r="K21" s="19" t="n">
        <v>1</v>
      </c>
      <c r="L21" s="11" t="s">
        <v>96</v>
      </c>
      <c r="M21" s="11" t="s">
        <v>330</v>
      </c>
      <c r="N21" s="11" t="s">
        <v>1251</v>
      </c>
      <c r="O21" s="20" t="n">
        <v>46244</v>
      </c>
      <c r="P21" s="20" t="n">
        <v>46248</v>
      </c>
      <c r="Q21" s="20"/>
      <c r="R21" s="11" t="s">
        <v>1275</v>
      </c>
      <c r="S21" s="11" t="s">
        <v>1275</v>
      </c>
      <c r="T21" s="11" t="str">
        <f aca="false">IF(P21="","No deadline",IF(Q21&lt;&gt;"",IF(Q21&gt;P21,"Late","On time"),IF(README!$B$4&gt;P21,"Overdue","Open")))</f>
        <v>Overdue</v>
      </c>
      <c r="U21" s="11"/>
      <c r="V21" s="11"/>
      <c r="W21" s="11"/>
      <c r="X21" s="11"/>
      <c r="Y21" s="11" t="str">
        <f aca="false">IF(AND(S21="Completed",P21&lt;&gt;"",Q21&lt;&gt;""),IF(AND(T21="Late",X21="Yes",W21="Yes"),"Excluded (validated delay)","Yes"),"No")</f>
        <v>No</v>
      </c>
      <c r="Z21" s="14"/>
    </row>
    <row r="22" customFormat="false" ht="15" hidden="false" customHeight="true" outlineLevel="0" collapsed="false">
      <c r="A22" s="11" t="n">
        <v>24</v>
      </c>
      <c r="B22" s="11" t="s">
        <v>1332</v>
      </c>
      <c r="C22" s="11" t="s">
        <v>1333</v>
      </c>
      <c r="D22" s="11" t="s">
        <v>1334</v>
      </c>
      <c r="E22" s="11" t="s">
        <v>1333</v>
      </c>
      <c r="F22" s="11" t="s">
        <v>342</v>
      </c>
      <c r="G22" s="11" t="s">
        <v>341</v>
      </c>
      <c r="H22" s="11" t="s">
        <v>342</v>
      </c>
      <c r="I22" s="11" t="s">
        <v>1249</v>
      </c>
      <c r="J22" s="11" t="s">
        <v>1250</v>
      </c>
      <c r="K22" s="19" t="n">
        <v>1</v>
      </c>
      <c r="L22" s="11" t="s">
        <v>96</v>
      </c>
      <c r="M22" s="11" t="s">
        <v>330</v>
      </c>
      <c r="N22" s="11" t="s">
        <v>1251</v>
      </c>
      <c r="O22" s="20" t="n">
        <v>46197</v>
      </c>
      <c r="P22" s="20" t="n">
        <v>46197</v>
      </c>
      <c r="Q22" s="20"/>
      <c r="R22" s="11" t="s">
        <v>1275</v>
      </c>
      <c r="S22" s="11" t="s">
        <v>1275</v>
      </c>
      <c r="T22" s="11" t="str">
        <f aca="false">IF(P22="","No deadline",IF(Q22&lt;&gt;"",IF(Q22&gt;P22,"Late","On time"),IF(README!$B$4&gt;P22,"Overdue","Open")))</f>
        <v>Overdue</v>
      </c>
      <c r="U22" s="11"/>
      <c r="V22" s="11"/>
      <c r="W22" s="11"/>
      <c r="X22" s="11"/>
      <c r="Y22" s="11" t="str">
        <f aca="false">IF(AND(S22="Completed",P22&lt;&gt;"",Q22&lt;&gt;""),IF(AND(T22="Late",X22="Yes",W22="Yes"),"Excluded (validated delay)","Yes"),"No")</f>
        <v>No</v>
      </c>
      <c r="Z22" s="14"/>
    </row>
    <row r="23" customFormat="false" ht="15" hidden="false" customHeight="true" outlineLevel="0" collapsed="false">
      <c r="A23" s="11" t="n">
        <v>25</v>
      </c>
      <c r="B23" s="11" t="s">
        <v>1335</v>
      </c>
      <c r="C23" s="11" t="s">
        <v>1336</v>
      </c>
      <c r="D23" s="11" t="s">
        <v>1337</v>
      </c>
      <c r="E23" s="11" t="s">
        <v>1336</v>
      </c>
      <c r="F23" s="11" t="s">
        <v>342</v>
      </c>
      <c r="G23" s="11" t="s">
        <v>341</v>
      </c>
      <c r="H23" s="11" t="s">
        <v>342</v>
      </c>
      <c r="I23" s="11" t="s">
        <v>1249</v>
      </c>
      <c r="J23" s="11" t="s">
        <v>1250</v>
      </c>
      <c r="K23" s="19" t="n">
        <v>1</v>
      </c>
      <c r="L23" s="11" t="s">
        <v>96</v>
      </c>
      <c r="M23" s="11" t="s">
        <v>330</v>
      </c>
      <c r="N23" s="11" t="s">
        <v>1251</v>
      </c>
      <c r="O23" s="20" t="n">
        <v>46197</v>
      </c>
      <c r="P23" s="20" t="n">
        <v>46197</v>
      </c>
      <c r="Q23" s="20"/>
      <c r="R23" s="11" t="s">
        <v>1275</v>
      </c>
      <c r="S23" s="11" t="s">
        <v>1275</v>
      </c>
      <c r="T23" s="11" t="str">
        <f aca="false">IF(P23="","No deadline",IF(Q23&lt;&gt;"",IF(Q23&gt;P23,"Late","On time"),IF(README!$B$4&gt;P23,"Overdue","Open")))</f>
        <v>Overdue</v>
      </c>
      <c r="U23" s="11"/>
      <c r="V23" s="11"/>
      <c r="W23" s="11"/>
      <c r="X23" s="11"/>
      <c r="Y23" s="11" t="str">
        <f aca="false">IF(AND(S23="Completed",P23&lt;&gt;"",Q23&lt;&gt;""),IF(AND(T23="Late",X23="Yes",W23="Yes"),"Excluded (validated delay)","Yes"),"No")</f>
        <v>No</v>
      </c>
      <c r="Z23" s="14"/>
    </row>
    <row r="24" customFormat="false" ht="15" hidden="false" customHeight="true" outlineLevel="0" collapsed="false">
      <c r="A24" s="11" t="n">
        <v>26</v>
      </c>
      <c r="B24" s="11" t="s">
        <v>1338</v>
      </c>
      <c r="C24" s="11" t="s">
        <v>1339</v>
      </c>
      <c r="D24" s="11" t="s">
        <v>1340</v>
      </c>
      <c r="E24" s="11" t="s">
        <v>1341</v>
      </c>
      <c r="F24" s="11" t="s">
        <v>1342</v>
      </c>
      <c r="G24" s="11" t="s">
        <v>667</v>
      </c>
      <c r="H24" s="11" t="s">
        <v>668</v>
      </c>
      <c r="I24" s="11" t="s">
        <v>1343</v>
      </c>
      <c r="J24" s="11" t="s">
        <v>1250</v>
      </c>
      <c r="K24" s="19" t="n">
        <v>1</v>
      </c>
      <c r="L24" s="11" t="s">
        <v>662</v>
      </c>
      <c r="M24" s="11" t="s">
        <v>1344</v>
      </c>
      <c r="N24" s="11" t="s">
        <v>1251</v>
      </c>
      <c r="O24" s="20" t="n">
        <v>46235</v>
      </c>
      <c r="P24" s="20" t="n">
        <v>46266</v>
      </c>
      <c r="Q24" s="20"/>
      <c r="R24" s="11" t="s">
        <v>1345</v>
      </c>
      <c r="S24" s="11" t="s">
        <v>1346</v>
      </c>
      <c r="T24" s="11" t="str">
        <f aca="false">IF(P24="","No deadline",IF(Q24&lt;&gt;"",IF(Q24&gt;P24,"Late","On time"),IF(README!$B$4&gt;P24,"Overdue","Open")))</f>
        <v>Overdue</v>
      </c>
      <c r="U24" s="11" t="s">
        <v>1347</v>
      </c>
      <c r="V24" s="11" t="s">
        <v>1348</v>
      </c>
      <c r="W24" s="11"/>
      <c r="X24" s="11" t="s">
        <v>1265</v>
      </c>
      <c r="Y24" s="11" t="str">
        <f aca="false">IF(AND(S24="Completed",P24&lt;&gt;"",Q24&lt;&gt;""),IF(AND(T24="Late",X24="Yes",W24="Yes"),"Excluded (validated delay)","Yes"),"No")</f>
        <v>No</v>
      </c>
      <c r="Z24" s="13" t="s">
        <v>1349</v>
      </c>
    </row>
    <row r="25" customFormat="false" ht="15" hidden="false" customHeight="true" outlineLevel="0" collapsed="false">
      <c r="A25" s="11" t="n">
        <v>27</v>
      </c>
      <c r="B25" s="11" t="s">
        <v>1350</v>
      </c>
      <c r="C25" s="11" t="s">
        <v>1351</v>
      </c>
      <c r="D25" s="11" t="s">
        <v>1352</v>
      </c>
      <c r="E25" s="11" t="s">
        <v>1353</v>
      </c>
      <c r="F25" s="11" t="s">
        <v>1344</v>
      </c>
      <c r="G25" s="11" t="s">
        <v>437</v>
      </c>
      <c r="H25" s="11" t="s">
        <v>180</v>
      </c>
      <c r="I25" s="11" t="s">
        <v>1354</v>
      </c>
      <c r="J25" s="11" t="s">
        <v>1250</v>
      </c>
      <c r="K25" s="19" t="n">
        <v>1</v>
      </c>
      <c r="L25" s="11" t="s">
        <v>662</v>
      </c>
      <c r="M25" s="11" t="s">
        <v>1344</v>
      </c>
      <c r="N25" s="11" t="s">
        <v>1251</v>
      </c>
      <c r="O25" s="20" t="n">
        <v>46252</v>
      </c>
      <c r="P25" s="20"/>
      <c r="Q25" s="20"/>
      <c r="R25" s="11" t="s">
        <v>1308</v>
      </c>
      <c r="S25" s="11" t="s">
        <v>1309</v>
      </c>
      <c r="T25" s="11" t="str">
        <f aca="false">IF(P25="","No deadline",IF(Q25&lt;&gt;"",IF(Q25&gt;P25,"Late","On time"),IF(README!$B$4&gt;P25,"Overdue","Open")))</f>
        <v>No deadline</v>
      </c>
      <c r="U25" s="11" t="s">
        <v>1347</v>
      </c>
      <c r="V25" s="11" t="s">
        <v>1355</v>
      </c>
      <c r="W25" s="11"/>
      <c r="X25" s="11" t="s">
        <v>1265</v>
      </c>
      <c r="Y25" s="11" t="str">
        <f aca="false">IF(AND(S25="Completed",P25&lt;&gt;"",Q25&lt;&gt;""),IF(AND(T25="Late",X25="Yes",W25="Yes"),"Excluded (validated delay)","Yes"),"No")</f>
        <v>No</v>
      </c>
      <c r="Z25" s="13" t="s">
        <v>1356</v>
      </c>
    </row>
    <row r="26" customFormat="false" ht="15" hidden="false" customHeight="true" outlineLevel="0" collapsed="false">
      <c r="A26" s="11" t="n">
        <v>28</v>
      </c>
      <c r="B26" s="11" t="s">
        <v>1357</v>
      </c>
      <c r="C26" s="11" t="s">
        <v>1358</v>
      </c>
      <c r="D26" s="11" t="s">
        <v>1359</v>
      </c>
      <c r="E26" s="11" t="s">
        <v>1360</v>
      </c>
      <c r="F26" s="11" t="s">
        <v>1361</v>
      </c>
      <c r="G26" s="11" t="s">
        <v>437</v>
      </c>
      <c r="H26" s="11" t="s">
        <v>180</v>
      </c>
      <c r="I26" s="11" t="s">
        <v>1354</v>
      </c>
      <c r="J26" s="11" t="s">
        <v>1250</v>
      </c>
      <c r="K26" s="19" t="n">
        <v>1</v>
      </c>
      <c r="L26" s="11" t="s">
        <v>662</v>
      </c>
      <c r="M26" s="11" t="s">
        <v>1344</v>
      </c>
      <c r="N26" s="11" t="s">
        <v>1270</v>
      </c>
      <c r="O26" s="20" t="n">
        <v>46244</v>
      </c>
      <c r="P26" s="20"/>
      <c r="Q26" s="20"/>
      <c r="R26" s="11" t="s">
        <v>1308</v>
      </c>
      <c r="S26" s="11" t="s">
        <v>1309</v>
      </c>
      <c r="T26" s="11" t="str">
        <f aca="false">IF(P26="","No deadline",IF(Q26&lt;&gt;"",IF(Q26&gt;P26,"Late","On time"),IF(README!$B$4&gt;P26,"Overdue","Open")))</f>
        <v>No deadline</v>
      </c>
      <c r="U26" s="11" t="s">
        <v>1347</v>
      </c>
      <c r="V26" s="11" t="s">
        <v>1355</v>
      </c>
      <c r="W26" s="11"/>
      <c r="X26" s="11" t="s">
        <v>1265</v>
      </c>
      <c r="Y26" s="11" t="str">
        <f aca="false">IF(AND(S26="Completed",P26&lt;&gt;"",Q26&lt;&gt;""),IF(AND(T26="Late",X26="Yes",W26="Yes"),"Excluded (validated delay)","Yes"),"No")</f>
        <v>No</v>
      </c>
      <c r="Z26" s="13" t="s">
        <v>1356</v>
      </c>
    </row>
    <row r="27" customFormat="false" ht="34.5" hidden="false" customHeight="true" outlineLevel="0" collapsed="false">
      <c r="A27" s="11" t="n">
        <v>29</v>
      </c>
      <c r="B27" s="11" t="s">
        <v>1362</v>
      </c>
      <c r="C27" s="11" t="s">
        <v>1363</v>
      </c>
      <c r="D27" s="11" t="s">
        <v>1364</v>
      </c>
      <c r="E27" s="11" t="s">
        <v>1365</v>
      </c>
      <c r="F27" s="11" t="s">
        <v>1366</v>
      </c>
      <c r="G27" s="11" t="s">
        <v>680</v>
      </c>
      <c r="H27" s="11" t="s">
        <v>681</v>
      </c>
      <c r="I27" s="11" t="s">
        <v>1367</v>
      </c>
      <c r="J27" s="11" t="s">
        <v>1250</v>
      </c>
      <c r="K27" s="19" t="n">
        <v>1</v>
      </c>
      <c r="L27" s="11" t="s">
        <v>662</v>
      </c>
      <c r="M27" s="11" t="s">
        <v>1344</v>
      </c>
      <c r="N27" s="11" t="s">
        <v>1251</v>
      </c>
      <c r="O27" s="20" t="n">
        <v>46126</v>
      </c>
      <c r="P27" s="20"/>
      <c r="Q27" s="20" t="n">
        <v>46308</v>
      </c>
      <c r="R27" s="11" t="s">
        <v>1345</v>
      </c>
      <c r="S27" s="11" t="s">
        <v>1346</v>
      </c>
      <c r="T27" s="11" t="str">
        <f aca="false">IF(P27="","No deadline",IF(Q27&lt;&gt;"",IF(Q27&gt;P27,"Late","On time"),IF(README!$B$4&gt;P27,"Overdue","Open")))</f>
        <v>No deadline</v>
      </c>
      <c r="U27" s="11" t="s">
        <v>1347</v>
      </c>
      <c r="V27" s="11" t="s">
        <v>1368</v>
      </c>
      <c r="W27" s="11"/>
      <c r="X27" s="11" t="s">
        <v>1265</v>
      </c>
      <c r="Y27" s="11" t="str">
        <f aca="false">IF(AND(S27="Completed",P27&lt;&gt;"",Q27&lt;&gt;""),IF(AND(T27="Late",X27="Yes",W27="Yes"),"Excluded (validated delay)","Yes"),"No")</f>
        <v>No</v>
      </c>
      <c r="Z27" s="13" t="s">
        <v>1369</v>
      </c>
    </row>
    <row r="28" customFormat="false" ht="34.5" hidden="false" customHeight="true" outlineLevel="0" collapsed="false">
      <c r="A28" s="11" t="n">
        <v>30</v>
      </c>
      <c r="B28" s="11" t="s">
        <v>1362</v>
      </c>
      <c r="C28" s="11" t="s">
        <v>1363</v>
      </c>
      <c r="D28" s="11" t="s">
        <v>1364</v>
      </c>
      <c r="E28" s="11" t="s">
        <v>1365</v>
      </c>
      <c r="F28" s="11" t="s">
        <v>1370</v>
      </c>
      <c r="G28" s="11" t="s">
        <v>703</v>
      </c>
      <c r="H28" s="11" t="s">
        <v>704</v>
      </c>
      <c r="I28" s="11" t="s">
        <v>1371</v>
      </c>
      <c r="J28" s="11" t="s">
        <v>1250</v>
      </c>
      <c r="K28" s="19" t="n">
        <v>1</v>
      </c>
      <c r="L28" s="11" t="s">
        <v>662</v>
      </c>
      <c r="M28" s="11" t="s">
        <v>1366</v>
      </c>
      <c r="N28" s="11" t="s">
        <v>1251</v>
      </c>
      <c r="O28" s="20" t="n">
        <v>46126</v>
      </c>
      <c r="P28" s="20"/>
      <c r="Q28" s="20" t="n">
        <v>46308</v>
      </c>
      <c r="R28" s="11" t="s">
        <v>1345</v>
      </c>
      <c r="S28" s="11" t="s">
        <v>1346</v>
      </c>
      <c r="T28" s="11" t="str">
        <f aca="false">IF(P28="","No deadline",IF(Q28&lt;&gt;"",IF(Q28&gt;P28,"Late","On time"),IF(README!$B$4&gt;P28,"Overdue","Open")))</f>
        <v>No deadline</v>
      </c>
      <c r="U28" s="11" t="s">
        <v>1347</v>
      </c>
      <c r="V28" s="11" t="s">
        <v>1368</v>
      </c>
      <c r="W28" s="11"/>
      <c r="X28" s="11" t="s">
        <v>1265</v>
      </c>
      <c r="Y28" s="11" t="str">
        <f aca="false">IF(AND(S28="Completed",P28&lt;&gt;"",Q28&lt;&gt;""),IF(AND(T28="Late",X28="Yes",W28="Yes"),"Excluded (validated delay)","Yes"),"No")</f>
        <v>No</v>
      </c>
      <c r="Z28" s="13" t="s">
        <v>1369</v>
      </c>
    </row>
    <row r="29" customFormat="false" ht="15" hidden="false" customHeight="true" outlineLevel="0" collapsed="false">
      <c r="A29" s="11" t="n">
        <v>31</v>
      </c>
      <c r="B29" s="11" t="s">
        <v>1372</v>
      </c>
      <c r="C29" s="11" t="s">
        <v>1373</v>
      </c>
      <c r="D29" s="11" t="s">
        <v>1374</v>
      </c>
      <c r="E29" s="11" t="s">
        <v>1375</v>
      </c>
      <c r="F29" s="11" t="s">
        <v>1366</v>
      </c>
      <c r="G29" s="11" t="s">
        <v>680</v>
      </c>
      <c r="H29" s="11" t="s">
        <v>681</v>
      </c>
      <c r="I29" s="11" t="s">
        <v>1367</v>
      </c>
      <c r="J29" s="11" t="s">
        <v>1250</v>
      </c>
      <c r="K29" s="19" t="n">
        <v>1</v>
      </c>
      <c r="L29" s="11" t="s">
        <v>662</v>
      </c>
      <c r="M29" s="11" t="s">
        <v>1344</v>
      </c>
      <c r="N29" s="11" t="s">
        <v>1270</v>
      </c>
      <c r="O29" s="20" t="n">
        <v>46237</v>
      </c>
      <c r="P29" s="20" t="n">
        <v>46265</v>
      </c>
      <c r="Q29" s="20"/>
      <c r="R29" s="11" t="s">
        <v>1308</v>
      </c>
      <c r="S29" s="11" t="s">
        <v>1309</v>
      </c>
      <c r="T29" s="11" t="str">
        <f aca="false">IF(P29="","No deadline",IF(Q29&lt;&gt;"",IF(Q29&gt;P29,"Late","On time"),IF(README!$B$4&gt;P29,"Overdue","Open")))</f>
        <v>Overdue</v>
      </c>
      <c r="U29" s="11"/>
      <c r="V29" s="11"/>
      <c r="W29" s="11"/>
      <c r="X29" s="11"/>
      <c r="Y29" s="11" t="str">
        <f aca="false">IF(AND(S29="Completed",P29&lt;&gt;"",Q29&lt;&gt;""),IF(AND(T29="Late",X29="Yes",W29="Yes"),"Excluded (validated delay)","Yes"),"No")</f>
        <v>No</v>
      </c>
      <c r="Z29" s="14"/>
    </row>
    <row r="30" customFormat="false" ht="15" hidden="false" customHeight="true" outlineLevel="0" collapsed="false">
      <c r="A30" s="11" t="n">
        <v>32</v>
      </c>
      <c r="B30" s="11" t="s">
        <v>1372</v>
      </c>
      <c r="C30" s="11" t="s">
        <v>1373</v>
      </c>
      <c r="D30" s="11" t="s">
        <v>1374</v>
      </c>
      <c r="E30" s="11" t="s">
        <v>1375</v>
      </c>
      <c r="F30" s="11" t="s">
        <v>1370</v>
      </c>
      <c r="G30" s="11" t="s">
        <v>703</v>
      </c>
      <c r="H30" s="11" t="s">
        <v>704</v>
      </c>
      <c r="I30" s="11" t="s">
        <v>1371</v>
      </c>
      <c r="J30" s="11" t="s">
        <v>1250</v>
      </c>
      <c r="K30" s="19" t="n">
        <v>1</v>
      </c>
      <c r="L30" s="11" t="s">
        <v>662</v>
      </c>
      <c r="M30" s="11" t="s">
        <v>1366</v>
      </c>
      <c r="N30" s="11" t="s">
        <v>1270</v>
      </c>
      <c r="O30" s="20" t="n">
        <v>46237</v>
      </c>
      <c r="P30" s="20" t="n">
        <v>46265</v>
      </c>
      <c r="Q30" s="20"/>
      <c r="R30" s="11" t="s">
        <v>1308</v>
      </c>
      <c r="S30" s="11" t="s">
        <v>1309</v>
      </c>
      <c r="T30" s="11" t="str">
        <f aca="false">IF(P30="","No deadline",IF(Q30&lt;&gt;"",IF(Q30&gt;P30,"Late","On time"),IF(README!$B$4&gt;P30,"Overdue","Open")))</f>
        <v>Overdue</v>
      </c>
      <c r="U30" s="11"/>
      <c r="V30" s="11"/>
      <c r="W30" s="11"/>
      <c r="X30" s="11"/>
      <c r="Y30" s="11" t="str">
        <f aca="false">IF(AND(S30="Completed",P30&lt;&gt;"",Q30&lt;&gt;""),IF(AND(T30="Late",X30="Yes",W30="Yes"),"Excluded (validated delay)","Yes"),"No")</f>
        <v>No</v>
      </c>
      <c r="Z30" s="14"/>
    </row>
    <row r="31" customFormat="false" ht="15" hidden="false" customHeight="true" outlineLevel="0" collapsed="false">
      <c r="A31" s="11" t="n">
        <v>33</v>
      </c>
      <c r="B31" s="11" t="s">
        <v>1372</v>
      </c>
      <c r="C31" s="11" t="s">
        <v>1373</v>
      </c>
      <c r="D31" s="11" t="s">
        <v>1374</v>
      </c>
      <c r="E31" s="11" t="s">
        <v>1375</v>
      </c>
      <c r="F31" s="11" t="s">
        <v>1376</v>
      </c>
      <c r="G31" s="11" t="s">
        <v>684</v>
      </c>
      <c r="H31" s="11" t="s">
        <v>685</v>
      </c>
      <c r="I31" s="11" t="s">
        <v>1377</v>
      </c>
      <c r="J31" s="11" t="s">
        <v>1250</v>
      </c>
      <c r="K31" s="19" t="n">
        <v>1</v>
      </c>
      <c r="L31" s="11" t="s">
        <v>662</v>
      </c>
      <c r="M31" s="11" t="s">
        <v>1366</v>
      </c>
      <c r="N31" s="11" t="s">
        <v>1270</v>
      </c>
      <c r="O31" s="20" t="n">
        <v>46237</v>
      </c>
      <c r="P31" s="20" t="n">
        <v>46265</v>
      </c>
      <c r="Q31" s="20"/>
      <c r="R31" s="11" t="s">
        <v>1308</v>
      </c>
      <c r="S31" s="11" t="s">
        <v>1309</v>
      </c>
      <c r="T31" s="11" t="str">
        <f aca="false">IF(P31="","No deadline",IF(Q31&lt;&gt;"",IF(Q31&gt;P31,"Late","On time"),IF(README!$B$4&gt;P31,"Overdue","Open")))</f>
        <v>Overdue</v>
      </c>
      <c r="U31" s="11"/>
      <c r="V31" s="11"/>
      <c r="W31" s="11"/>
      <c r="X31" s="11"/>
      <c r="Y31" s="11" t="str">
        <f aca="false">IF(AND(S31="Completed",P31&lt;&gt;"",Q31&lt;&gt;""),IF(AND(T31="Late",X31="Yes",W31="Yes"),"Excluded (validated delay)","Yes"),"No")</f>
        <v>No</v>
      </c>
      <c r="Z31" s="14"/>
    </row>
    <row r="32" customFormat="false" ht="15" hidden="false" customHeight="true" outlineLevel="0" collapsed="false">
      <c r="A32" s="11" t="n">
        <v>34</v>
      </c>
      <c r="B32" s="11" t="s">
        <v>1372</v>
      </c>
      <c r="C32" s="11" t="s">
        <v>1373</v>
      </c>
      <c r="D32" s="11" t="s">
        <v>1374</v>
      </c>
      <c r="E32" s="11" t="s">
        <v>1375</v>
      </c>
      <c r="F32" s="11" t="s">
        <v>1378</v>
      </c>
      <c r="G32" s="11" t="s">
        <v>721</v>
      </c>
      <c r="H32" s="11" t="s">
        <v>722</v>
      </c>
      <c r="I32" s="11" t="s">
        <v>1379</v>
      </c>
      <c r="J32" s="11" t="s">
        <v>1250</v>
      </c>
      <c r="K32" s="19" t="n">
        <v>1</v>
      </c>
      <c r="L32" s="11" t="s">
        <v>662</v>
      </c>
      <c r="M32" s="11" t="s">
        <v>1366</v>
      </c>
      <c r="N32" s="11" t="s">
        <v>1270</v>
      </c>
      <c r="O32" s="20" t="n">
        <v>46237</v>
      </c>
      <c r="P32" s="20" t="n">
        <v>46265</v>
      </c>
      <c r="Q32" s="20"/>
      <c r="R32" s="11" t="s">
        <v>1308</v>
      </c>
      <c r="S32" s="11" t="s">
        <v>1309</v>
      </c>
      <c r="T32" s="11" t="str">
        <f aca="false">IF(P32="","No deadline",IF(Q32&lt;&gt;"",IF(Q32&gt;P32,"Late","On time"),IF(README!$B$4&gt;P32,"Overdue","Open")))</f>
        <v>Overdue</v>
      </c>
      <c r="U32" s="11"/>
      <c r="V32" s="11"/>
      <c r="W32" s="11"/>
      <c r="X32" s="11"/>
      <c r="Y32" s="11" t="str">
        <f aca="false">IF(AND(S32="Completed",P32&lt;&gt;"",Q32&lt;&gt;""),IF(AND(T32="Late",X32="Yes",W32="Yes"),"Excluded (validated delay)","Yes"),"No")</f>
        <v>No</v>
      </c>
      <c r="Z32" s="14"/>
    </row>
    <row r="33" customFormat="false" ht="15" hidden="false" customHeight="true" outlineLevel="0" collapsed="false">
      <c r="A33" s="11" t="n">
        <v>35</v>
      </c>
      <c r="B33" s="11" t="s">
        <v>1380</v>
      </c>
      <c r="C33" s="11" t="s">
        <v>1381</v>
      </c>
      <c r="D33" s="11" t="s">
        <v>1382</v>
      </c>
      <c r="E33" s="11" t="s">
        <v>1383</v>
      </c>
      <c r="F33" s="11" t="s">
        <v>443</v>
      </c>
      <c r="G33" s="11" t="s">
        <v>442</v>
      </c>
      <c r="H33" s="11" t="s">
        <v>443</v>
      </c>
      <c r="I33" s="11" t="s">
        <v>1384</v>
      </c>
      <c r="J33" s="11" t="s">
        <v>1250</v>
      </c>
      <c r="K33" s="19" t="n">
        <v>1</v>
      </c>
      <c r="L33" s="11" t="s">
        <v>662</v>
      </c>
      <c r="M33" s="11" t="s">
        <v>1344</v>
      </c>
      <c r="N33" s="11" t="s">
        <v>1251</v>
      </c>
      <c r="O33" s="20" t="n">
        <v>46203</v>
      </c>
      <c r="P33" s="20" t="n">
        <v>46276</v>
      </c>
      <c r="Q33" s="20"/>
      <c r="R33" s="11" t="s">
        <v>1308</v>
      </c>
      <c r="S33" s="11" t="s">
        <v>1309</v>
      </c>
      <c r="T33" s="11" t="str">
        <f aca="false">IF(P33="","No deadline",IF(Q33&lt;&gt;"",IF(Q33&gt;P33,"Late","On time"),IF(README!$B$4&gt;P33,"Overdue","Open")))</f>
        <v>Overdue</v>
      </c>
      <c r="U33" s="11" t="s">
        <v>1347</v>
      </c>
      <c r="V33" s="11" t="s">
        <v>1355</v>
      </c>
      <c r="W33" s="11"/>
      <c r="X33" s="11" t="s">
        <v>1265</v>
      </c>
      <c r="Y33" s="11" t="str">
        <f aca="false">IF(AND(S33="Completed",P33&lt;&gt;"",Q33&lt;&gt;""),IF(AND(T33="Late",X33="Yes",W33="Yes"),"Excluded (validated delay)","Yes"),"No")</f>
        <v>No</v>
      </c>
      <c r="Z33" s="14"/>
    </row>
    <row r="34" customFormat="false" ht="15" hidden="false" customHeight="true" outlineLevel="0" collapsed="false">
      <c r="A34" s="11" t="n">
        <v>36</v>
      </c>
      <c r="B34" s="11" t="s">
        <v>1380</v>
      </c>
      <c r="C34" s="11" t="s">
        <v>1381</v>
      </c>
      <c r="D34" s="11" t="s">
        <v>1382</v>
      </c>
      <c r="E34" s="11" t="s">
        <v>1383</v>
      </c>
      <c r="F34" s="11" t="s">
        <v>1385</v>
      </c>
      <c r="G34" s="11" t="s">
        <v>450</v>
      </c>
      <c r="H34" s="11" t="s">
        <v>451</v>
      </c>
      <c r="I34" s="11" t="s">
        <v>1386</v>
      </c>
      <c r="J34" s="11" t="s">
        <v>1250</v>
      </c>
      <c r="K34" s="19" t="n">
        <v>1</v>
      </c>
      <c r="L34" s="11" t="s">
        <v>662</v>
      </c>
      <c r="M34" s="11" t="s">
        <v>443</v>
      </c>
      <c r="N34" s="11" t="s">
        <v>1251</v>
      </c>
      <c r="O34" s="20" t="n">
        <v>46203</v>
      </c>
      <c r="P34" s="20" t="n">
        <v>46276</v>
      </c>
      <c r="Q34" s="20"/>
      <c r="R34" s="11" t="s">
        <v>1308</v>
      </c>
      <c r="S34" s="11" t="s">
        <v>1309</v>
      </c>
      <c r="T34" s="11" t="str">
        <f aca="false">IF(P34="","No deadline",IF(Q34&lt;&gt;"",IF(Q34&gt;P34,"Late","On time"),IF(README!$B$4&gt;P34,"Overdue","Open")))</f>
        <v>Overdue</v>
      </c>
      <c r="U34" s="11" t="s">
        <v>1347</v>
      </c>
      <c r="V34" s="11" t="s">
        <v>1355</v>
      </c>
      <c r="W34" s="11"/>
      <c r="X34" s="11" t="s">
        <v>1265</v>
      </c>
      <c r="Y34" s="11" t="str">
        <f aca="false">IF(AND(S34="Completed",P34&lt;&gt;"",Q34&lt;&gt;""),IF(AND(T34="Late",X34="Yes",W34="Yes"),"Excluded (validated delay)","Yes"),"No")</f>
        <v>No</v>
      </c>
      <c r="Z34" s="14"/>
    </row>
    <row r="35" customFormat="false" ht="15" hidden="false" customHeight="true" outlineLevel="0" collapsed="false">
      <c r="A35" s="11" t="n">
        <v>37</v>
      </c>
      <c r="B35" s="11" t="s">
        <v>1387</v>
      </c>
      <c r="C35" s="11" t="s">
        <v>1388</v>
      </c>
      <c r="D35" s="11" t="s">
        <v>1389</v>
      </c>
      <c r="E35" s="11" t="s">
        <v>1390</v>
      </c>
      <c r="F35" s="11" t="s">
        <v>443</v>
      </c>
      <c r="G35" s="11" t="s">
        <v>442</v>
      </c>
      <c r="H35" s="11" t="s">
        <v>443</v>
      </c>
      <c r="I35" s="11" t="s">
        <v>1384</v>
      </c>
      <c r="J35" s="11" t="s">
        <v>1250</v>
      </c>
      <c r="K35" s="19" t="n">
        <v>1</v>
      </c>
      <c r="L35" s="11" t="s">
        <v>662</v>
      </c>
      <c r="M35" s="11" t="s">
        <v>1344</v>
      </c>
      <c r="N35" s="11" t="s">
        <v>1270</v>
      </c>
      <c r="O35" s="20" t="n">
        <v>46235</v>
      </c>
      <c r="P35" s="20"/>
      <c r="Q35" s="20"/>
      <c r="R35" s="11" t="s">
        <v>1308</v>
      </c>
      <c r="S35" s="11" t="s">
        <v>1309</v>
      </c>
      <c r="T35" s="11" t="str">
        <f aca="false">IF(P35="","No deadline",IF(Q35&lt;&gt;"",IF(Q35&gt;P35,"Late","On time"),IF(README!$B$4&gt;P35,"Overdue","Open")))</f>
        <v>No deadline</v>
      </c>
      <c r="U35" s="11" t="s">
        <v>1347</v>
      </c>
      <c r="V35" s="11" t="s">
        <v>1355</v>
      </c>
      <c r="W35" s="11"/>
      <c r="X35" s="11" t="s">
        <v>1265</v>
      </c>
      <c r="Y35" s="11" t="str">
        <f aca="false">IF(AND(S35="Completed",P35&lt;&gt;"",Q35&lt;&gt;""),IF(AND(T35="Late",X35="Yes",W35="Yes"),"Excluded (validated delay)","Yes"),"No")</f>
        <v>No</v>
      </c>
      <c r="Z35" s="13" t="s">
        <v>1356</v>
      </c>
    </row>
    <row r="36" customFormat="false" ht="15" hidden="false" customHeight="true" outlineLevel="0" collapsed="false">
      <c r="A36" s="11" t="n">
        <v>38</v>
      </c>
      <c r="B36" s="11" t="s">
        <v>1387</v>
      </c>
      <c r="C36" s="11" t="s">
        <v>1388</v>
      </c>
      <c r="D36" s="11" t="s">
        <v>1389</v>
      </c>
      <c r="E36" s="11" t="s">
        <v>1390</v>
      </c>
      <c r="F36" s="11" t="s">
        <v>1385</v>
      </c>
      <c r="G36" s="11" t="s">
        <v>450</v>
      </c>
      <c r="H36" s="11" t="s">
        <v>451</v>
      </c>
      <c r="I36" s="11" t="s">
        <v>1386</v>
      </c>
      <c r="J36" s="11" t="s">
        <v>1250</v>
      </c>
      <c r="K36" s="19" t="n">
        <v>1</v>
      </c>
      <c r="L36" s="11" t="s">
        <v>662</v>
      </c>
      <c r="M36" s="11" t="s">
        <v>443</v>
      </c>
      <c r="N36" s="11" t="s">
        <v>1270</v>
      </c>
      <c r="O36" s="20" t="n">
        <v>46235</v>
      </c>
      <c r="P36" s="20"/>
      <c r="Q36" s="20"/>
      <c r="R36" s="11" t="s">
        <v>1308</v>
      </c>
      <c r="S36" s="11" t="s">
        <v>1309</v>
      </c>
      <c r="T36" s="11" t="str">
        <f aca="false">IF(P36="","No deadline",IF(Q36&lt;&gt;"",IF(Q36&gt;P36,"Late","On time"),IF(README!$B$4&gt;P36,"Overdue","Open")))</f>
        <v>No deadline</v>
      </c>
      <c r="U36" s="11" t="s">
        <v>1347</v>
      </c>
      <c r="V36" s="11" t="s">
        <v>1355</v>
      </c>
      <c r="W36" s="11"/>
      <c r="X36" s="11" t="s">
        <v>1265</v>
      </c>
      <c r="Y36" s="11" t="str">
        <f aca="false">IF(AND(S36="Completed",P36&lt;&gt;"",Q36&lt;&gt;""),IF(AND(T36="Late",X36="Yes",W36="Yes"),"Excluded (validated delay)","Yes"),"No")</f>
        <v>No</v>
      </c>
      <c r="Z36" s="13" t="s">
        <v>1356</v>
      </c>
    </row>
    <row r="37" customFormat="false" ht="34.5" hidden="false" customHeight="true" outlineLevel="0" collapsed="false">
      <c r="A37" s="11" t="n">
        <v>39</v>
      </c>
      <c r="B37" s="11" t="s">
        <v>1391</v>
      </c>
      <c r="C37" s="11" t="s">
        <v>1392</v>
      </c>
      <c r="D37" s="11" t="s">
        <v>1393</v>
      </c>
      <c r="E37" s="11" t="s">
        <v>1394</v>
      </c>
      <c r="F37" s="11" t="s">
        <v>219</v>
      </c>
      <c r="G37" s="11" t="s">
        <v>218</v>
      </c>
      <c r="H37" s="11" t="s">
        <v>219</v>
      </c>
      <c r="I37" s="11" t="s">
        <v>1384</v>
      </c>
      <c r="J37" s="11" t="s">
        <v>1395</v>
      </c>
      <c r="K37" s="19" t="n">
        <v>0.2</v>
      </c>
      <c r="L37" s="11" t="s">
        <v>96</v>
      </c>
      <c r="M37" s="11"/>
      <c r="N37" s="11" t="s">
        <v>1251</v>
      </c>
      <c r="O37" s="20"/>
      <c r="P37" s="20" t="n">
        <v>46268</v>
      </c>
      <c r="Q37" s="20"/>
      <c r="R37" s="11" t="s">
        <v>1345</v>
      </c>
      <c r="S37" s="11" t="s">
        <v>1346</v>
      </c>
      <c r="T37" s="11" t="str">
        <f aca="false">IF(P37="","No deadline",IF(Q37&lt;&gt;"",IF(Q37&gt;P37,"Late","On time"),IF(README!$B$4&gt;P37,"Overdue","Open")))</f>
        <v>Overdue</v>
      </c>
      <c r="U37" s="11" t="s">
        <v>1263</v>
      </c>
      <c r="V37" s="11" t="s">
        <v>1396</v>
      </c>
      <c r="W37" s="11"/>
      <c r="X37" s="11" t="s">
        <v>1265</v>
      </c>
      <c r="Y37" s="11" t="str">
        <f aca="false">IF(AND(S37="Completed",P37&lt;&gt;"",Q37&lt;&gt;""),IF(AND(T37="Late",X37="Yes",W37="Yes"),"Excluded (validated delay)","Yes"),"No")</f>
        <v>No</v>
      </c>
      <c r="Z37" s="13" t="s">
        <v>1397</v>
      </c>
    </row>
    <row r="38" customFormat="false" ht="34.5" hidden="false" customHeight="true" outlineLevel="0" collapsed="false">
      <c r="A38" s="11" t="n">
        <v>39</v>
      </c>
      <c r="B38" s="11" t="s">
        <v>1391</v>
      </c>
      <c r="C38" s="11" t="s">
        <v>1392</v>
      </c>
      <c r="D38" s="11" t="s">
        <v>1393</v>
      </c>
      <c r="E38" s="11" t="s">
        <v>1394</v>
      </c>
      <c r="F38" s="11" t="s">
        <v>1398</v>
      </c>
      <c r="G38" s="11" t="s">
        <v>250</v>
      </c>
      <c r="H38" s="11" t="s">
        <v>251</v>
      </c>
      <c r="I38" s="11" t="s">
        <v>1377</v>
      </c>
      <c r="J38" s="11" t="s">
        <v>1395</v>
      </c>
      <c r="K38" s="19" t="n">
        <v>0.2</v>
      </c>
      <c r="L38" s="11" t="s">
        <v>96</v>
      </c>
      <c r="M38" s="11"/>
      <c r="N38" s="11" t="s">
        <v>1251</v>
      </c>
      <c r="O38" s="20"/>
      <c r="P38" s="20" t="n">
        <v>46268</v>
      </c>
      <c r="Q38" s="20"/>
      <c r="R38" s="11" t="s">
        <v>1345</v>
      </c>
      <c r="S38" s="11" t="s">
        <v>1346</v>
      </c>
      <c r="T38" s="11" t="str">
        <f aca="false">IF(P38="","No deadline",IF(Q38&lt;&gt;"",IF(Q38&gt;P38,"Late","On time"),IF(README!$B$4&gt;P38,"Overdue","Open")))</f>
        <v>Overdue</v>
      </c>
      <c r="U38" s="11" t="s">
        <v>1263</v>
      </c>
      <c r="V38" s="11" t="s">
        <v>1396</v>
      </c>
      <c r="W38" s="11"/>
      <c r="X38" s="11" t="s">
        <v>1265</v>
      </c>
      <c r="Y38" s="11" t="str">
        <f aca="false">IF(AND(S38="Completed",P38&lt;&gt;"",Q38&lt;&gt;""),IF(AND(T38="Late",X38="Yes",W38="Yes"),"Excluded (validated delay)","Yes"),"No")</f>
        <v>No</v>
      </c>
      <c r="Z38" s="13" t="s">
        <v>1397</v>
      </c>
    </row>
    <row r="39" customFormat="false" ht="34.5" hidden="false" customHeight="true" outlineLevel="0" collapsed="false">
      <c r="A39" s="11" t="n">
        <v>39</v>
      </c>
      <c r="B39" s="11" t="s">
        <v>1391</v>
      </c>
      <c r="C39" s="11" t="s">
        <v>1392</v>
      </c>
      <c r="D39" s="11" t="s">
        <v>1393</v>
      </c>
      <c r="E39" s="11" t="s">
        <v>1394</v>
      </c>
      <c r="F39" s="11" t="s">
        <v>1399</v>
      </c>
      <c r="G39" s="11" t="s">
        <v>211</v>
      </c>
      <c r="H39" s="11" t="s">
        <v>212</v>
      </c>
      <c r="I39" s="11" t="s">
        <v>1377</v>
      </c>
      <c r="J39" s="11" t="s">
        <v>1395</v>
      </c>
      <c r="K39" s="19" t="n">
        <v>0.2</v>
      </c>
      <c r="L39" s="11" t="s">
        <v>96</v>
      </c>
      <c r="M39" s="11"/>
      <c r="N39" s="11" t="s">
        <v>1251</v>
      </c>
      <c r="O39" s="20"/>
      <c r="P39" s="20" t="n">
        <v>46268</v>
      </c>
      <c r="Q39" s="20"/>
      <c r="R39" s="11" t="s">
        <v>1345</v>
      </c>
      <c r="S39" s="11" t="s">
        <v>1346</v>
      </c>
      <c r="T39" s="11" t="str">
        <f aca="false">IF(P39="","No deadline",IF(Q39&lt;&gt;"",IF(Q39&gt;P39,"Late","On time"),IF(README!$B$4&gt;P39,"Overdue","Open")))</f>
        <v>Overdue</v>
      </c>
      <c r="U39" s="11" t="s">
        <v>1263</v>
      </c>
      <c r="V39" s="11" t="s">
        <v>1396</v>
      </c>
      <c r="W39" s="11"/>
      <c r="X39" s="11" t="s">
        <v>1265</v>
      </c>
      <c r="Y39" s="11" t="str">
        <f aca="false">IF(AND(S39="Completed",P39&lt;&gt;"",Q39&lt;&gt;""),IF(AND(T39="Late",X39="Yes",W39="Yes"),"Excluded (validated delay)","Yes"),"No")</f>
        <v>No</v>
      </c>
      <c r="Z39" s="13" t="s">
        <v>1397</v>
      </c>
    </row>
    <row r="40" customFormat="false" ht="34.5" hidden="false" customHeight="true" outlineLevel="0" collapsed="false">
      <c r="A40" s="11" t="n">
        <v>39</v>
      </c>
      <c r="B40" s="11" t="s">
        <v>1391</v>
      </c>
      <c r="C40" s="11" t="s">
        <v>1392</v>
      </c>
      <c r="D40" s="11" t="s">
        <v>1393</v>
      </c>
      <c r="E40" s="11" t="s">
        <v>1394</v>
      </c>
      <c r="F40" s="11" t="s">
        <v>1400</v>
      </c>
      <c r="G40" s="11" t="s">
        <v>147</v>
      </c>
      <c r="H40" s="11" t="s">
        <v>148</v>
      </c>
      <c r="I40" s="11" t="s">
        <v>1377</v>
      </c>
      <c r="J40" s="11" t="s">
        <v>1395</v>
      </c>
      <c r="K40" s="19" t="n">
        <v>0.2</v>
      </c>
      <c r="L40" s="11" t="s">
        <v>96</v>
      </c>
      <c r="M40" s="11"/>
      <c r="N40" s="11" t="s">
        <v>1251</v>
      </c>
      <c r="O40" s="20"/>
      <c r="P40" s="20" t="n">
        <v>46268</v>
      </c>
      <c r="Q40" s="20"/>
      <c r="R40" s="11" t="s">
        <v>1345</v>
      </c>
      <c r="S40" s="11" t="s">
        <v>1346</v>
      </c>
      <c r="T40" s="11" t="str">
        <f aca="false">IF(P40="","No deadline",IF(Q40&lt;&gt;"",IF(Q40&gt;P40,"Late","On time"),IF(README!$B$4&gt;P40,"Overdue","Open")))</f>
        <v>Overdue</v>
      </c>
      <c r="U40" s="11" t="s">
        <v>1263</v>
      </c>
      <c r="V40" s="11" t="s">
        <v>1396</v>
      </c>
      <c r="W40" s="11"/>
      <c r="X40" s="11" t="s">
        <v>1265</v>
      </c>
      <c r="Y40" s="11" t="str">
        <f aca="false">IF(AND(S40="Completed",P40&lt;&gt;"",Q40&lt;&gt;""),IF(AND(T40="Late",X40="Yes",W40="Yes"),"Excluded (validated delay)","Yes"),"No")</f>
        <v>No</v>
      </c>
      <c r="Z40" s="13" t="s">
        <v>1397</v>
      </c>
    </row>
    <row r="41" customFormat="false" ht="34.5" hidden="false" customHeight="true" outlineLevel="0" collapsed="false">
      <c r="A41" s="11" t="n">
        <v>39</v>
      </c>
      <c r="B41" s="11" t="s">
        <v>1391</v>
      </c>
      <c r="C41" s="11" t="s">
        <v>1392</v>
      </c>
      <c r="D41" s="11" t="s">
        <v>1393</v>
      </c>
      <c r="E41" s="11" t="s">
        <v>1394</v>
      </c>
      <c r="F41" s="11" t="s">
        <v>1401</v>
      </c>
      <c r="G41" s="11" t="s">
        <v>136</v>
      </c>
      <c r="H41" s="11" t="s">
        <v>137</v>
      </c>
      <c r="I41" s="11" t="s">
        <v>1384</v>
      </c>
      <c r="J41" s="11" t="s">
        <v>1395</v>
      </c>
      <c r="K41" s="19" t="n">
        <v>0.2</v>
      </c>
      <c r="L41" s="11" t="s">
        <v>96</v>
      </c>
      <c r="M41" s="11"/>
      <c r="N41" s="11" t="s">
        <v>1251</v>
      </c>
      <c r="O41" s="20"/>
      <c r="P41" s="20" t="n">
        <v>46268</v>
      </c>
      <c r="Q41" s="20"/>
      <c r="R41" s="11" t="s">
        <v>1345</v>
      </c>
      <c r="S41" s="11" t="s">
        <v>1346</v>
      </c>
      <c r="T41" s="11" t="str">
        <f aca="false">IF(P41="","No deadline",IF(Q41&lt;&gt;"",IF(Q41&gt;P41,"Late","On time"),IF(README!$B$4&gt;P41,"Overdue","Open")))</f>
        <v>Overdue</v>
      </c>
      <c r="U41" s="11" t="s">
        <v>1263</v>
      </c>
      <c r="V41" s="11" t="s">
        <v>1396</v>
      </c>
      <c r="W41" s="11"/>
      <c r="X41" s="11" t="s">
        <v>1265</v>
      </c>
      <c r="Y41" s="11" t="str">
        <f aca="false">IF(AND(S41="Completed",P41&lt;&gt;"",Q41&lt;&gt;""),IF(AND(T41="Late",X41="Yes",W41="Yes"),"Excluded (validated delay)","Yes"),"No")</f>
        <v>No</v>
      </c>
      <c r="Z41" s="13" t="s">
        <v>1397</v>
      </c>
    </row>
    <row r="42" customFormat="false" ht="34.5" hidden="false" customHeight="true" outlineLevel="0" collapsed="false">
      <c r="A42" s="11" t="n">
        <v>40</v>
      </c>
      <c r="B42" s="11" t="s">
        <v>1402</v>
      </c>
      <c r="C42" s="11" t="s">
        <v>1403</v>
      </c>
      <c r="D42" s="11" t="s">
        <v>1404</v>
      </c>
      <c r="E42" s="11" t="s">
        <v>1405</v>
      </c>
      <c r="F42" s="11" t="s">
        <v>1406</v>
      </c>
      <c r="G42" s="11" t="s">
        <v>247</v>
      </c>
      <c r="H42" s="11" t="s">
        <v>248</v>
      </c>
      <c r="I42" s="11" t="s">
        <v>1384</v>
      </c>
      <c r="J42" s="11" t="s">
        <v>1395</v>
      </c>
      <c r="K42" s="19" t="n">
        <v>0.25</v>
      </c>
      <c r="L42" s="11" t="s">
        <v>96</v>
      </c>
      <c r="M42" s="11"/>
      <c r="N42" s="11" t="s">
        <v>1251</v>
      </c>
      <c r="O42" s="20"/>
      <c r="P42" s="20" t="n">
        <v>46261</v>
      </c>
      <c r="Q42" s="20"/>
      <c r="R42" s="11" t="s">
        <v>1252</v>
      </c>
      <c r="S42" s="11" t="s">
        <v>1275</v>
      </c>
      <c r="T42" s="11" t="str">
        <f aca="false">IF(P42="","No deadline",IF(Q42&lt;&gt;"",IF(Q42&gt;P42,"Late","On time"),IF(README!$B$4&gt;P42,"Overdue","Open")))</f>
        <v>Overdue</v>
      </c>
      <c r="U42" s="11"/>
      <c r="V42" s="11"/>
      <c r="W42" s="11"/>
      <c r="X42" s="11"/>
      <c r="Y42" s="11" t="str">
        <f aca="false">IF(AND(S42="Completed",P42&lt;&gt;"",Q42&lt;&gt;""),IF(AND(T42="Late",X42="Yes",W42="Yes"),"Excluded (validated delay)","Yes"),"No")</f>
        <v>No</v>
      </c>
      <c r="Z42" s="13" t="s">
        <v>1407</v>
      </c>
    </row>
    <row r="43" customFormat="false" ht="34.5" hidden="false" customHeight="true" outlineLevel="0" collapsed="false">
      <c r="A43" s="11" t="n">
        <v>40</v>
      </c>
      <c r="B43" s="11" t="s">
        <v>1402</v>
      </c>
      <c r="C43" s="11" t="s">
        <v>1403</v>
      </c>
      <c r="D43" s="11" t="s">
        <v>1404</v>
      </c>
      <c r="E43" s="11" t="s">
        <v>1405</v>
      </c>
      <c r="F43" s="11" t="s">
        <v>1408</v>
      </c>
      <c r="G43" s="11" t="s">
        <v>230</v>
      </c>
      <c r="H43" s="11" t="s">
        <v>231</v>
      </c>
      <c r="I43" s="11" t="s">
        <v>1377</v>
      </c>
      <c r="J43" s="11" t="s">
        <v>1395</v>
      </c>
      <c r="K43" s="19" t="n">
        <v>0.25</v>
      </c>
      <c r="L43" s="11" t="s">
        <v>96</v>
      </c>
      <c r="M43" s="11"/>
      <c r="N43" s="11" t="s">
        <v>1251</v>
      </c>
      <c r="O43" s="20"/>
      <c r="P43" s="20" t="n">
        <v>46261</v>
      </c>
      <c r="Q43" s="20"/>
      <c r="R43" s="11" t="s">
        <v>1252</v>
      </c>
      <c r="S43" s="11" t="s">
        <v>1275</v>
      </c>
      <c r="T43" s="11" t="str">
        <f aca="false">IF(P43="","No deadline",IF(Q43&lt;&gt;"",IF(Q43&gt;P43,"Late","On time"),IF(README!$B$4&gt;P43,"Overdue","Open")))</f>
        <v>Overdue</v>
      </c>
      <c r="U43" s="11"/>
      <c r="V43" s="11"/>
      <c r="W43" s="11"/>
      <c r="X43" s="11"/>
      <c r="Y43" s="11" t="str">
        <f aca="false">IF(AND(S43="Completed",P43&lt;&gt;"",Q43&lt;&gt;""),IF(AND(T43="Late",X43="Yes",W43="Yes"),"Excluded (validated delay)","Yes"),"No")</f>
        <v>No</v>
      </c>
      <c r="Z43" s="13" t="s">
        <v>1407</v>
      </c>
    </row>
    <row r="44" customFormat="false" ht="34.5" hidden="false" customHeight="true" outlineLevel="0" collapsed="false">
      <c r="A44" s="11" t="n">
        <v>40</v>
      </c>
      <c r="B44" s="11" t="s">
        <v>1402</v>
      </c>
      <c r="C44" s="11" t="s">
        <v>1403</v>
      </c>
      <c r="D44" s="11" t="s">
        <v>1404</v>
      </c>
      <c r="E44" s="11" t="s">
        <v>1405</v>
      </c>
      <c r="F44" s="11" t="s">
        <v>1399</v>
      </c>
      <c r="G44" s="11" t="s">
        <v>211</v>
      </c>
      <c r="H44" s="11" t="s">
        <v>212</v>
      </c>
      <c r="I44" s="11" t="s">
        <v>1377</v>
      </c>
      <c r="J44" s="11" t="s">
        <v>1395</v>
      </c>
      <c r="K44" s="19" t="n">
        <v>0.25</v>
      </c>
      <c r="L44" s="11" t="s">
        <v>96</v>
      </c>
      <c r="M44" s="11"/>
      <c r="N44" s="11" t="s">
        <v>1251</v>
      </c>
      <c r="O44" s="20"/>
      <c r="P44" s="20" t="n">
        <v>46261</v>
      </c>
      <c r="Q44" s="20"/>
      <c r="R44" s="11" t="s">
        <v>1252</v>
      </c>
      <c r="S44" s="11" t="s">
        <v>1275</v>
      </c>
      <c r="T44" s="11" t="str">
        <f aca="false">IF(P44="","No deadline",IF(Q44&lt;&gt;"",IF(Q44&gt;P44,"Late","On time"),IF(README!$B$4&gt;P44,"Overdue","Open")))</f>
        <v>Overdue</v>
      </c>
      <c r="U44" s="11"/>
      <c r="V44" s="11"/>
      <c r="W44" s="11"/>
      <c r="X44" s="11"/>
      <c r="Y44" s="11" t="str">
        <f aca="false">IF(AND(S44="Completed",P44&lt;&gt;"",Q44&lt;&gt;""),IF(AND(T44="Late",X44="Yes",W44="Yes"),"Excluded (validated delay)","Yes"),"No")</f>
        <v>No</v>
      </c>
      <c r="Z44" s="13" t="s">
        <v>1407</v>
      </c>
    </row>
    <row r="45" customFormat="false" ht="34.5" hidden="false" customHeight="true" outlineLevel="0" collapsed="false">
      <c r="A45" s="11" t="n">
        <v>40</v>
      </c>
      <c r="B45" s="11" t="s">
        <v>1402</v>
      </c>
      <c r="C45" s="11" t="s">
        <v>1403</v>
      </c>
      <c r="D45" s="11" t="s">
        <v>1404</v>
      </c>
      <c r="E45" s="11" t="s">
        <v>1405</v>
      </c>
      <c r="F45" s="11" t="s">
        <v>137</v>
      </c>
      <c r="G45" s="11" t="s">
        <v>136</v>
      </c>
      <c r="H45" s="11" t="s">
        <v>137</v>
      </c>
      <c r="I45" s="11" t="s">
        <v>1384</v>
      </c>
      <c r="J45" s="11" t="s">
        <v>1395</v>
      </c>
      <c r="K45" s="19" t="n">
        <v>0.25</v>
      </c>
      <c r="L45" s="11" t="s">
        <v>96</v>
      </c>
      <c r="M45" s="11"/>
      <c r="N45" s="11" t="s">
        <v>1251</v>
      </c>
      <c r="O45" s="20"/>
      <c r="P45" s="20" t="n">
        <v>46261</v>
      </c>
      <c r="Q45" s="20"/>
      <c r="R45" s="11" t="s">
        <v>1252</v>
      </c>
      <c r="S45" s="11" t="s">
        <v>1275</v>
      </c>
      <c r="T45" s="11" t="str">
        <f aca="false">IF(P45="","No deadline",IF(Q45&lt;&gt;"",IF(Q45&gt;P45,"Late","On time"),IF(README!$B$4&gt;P45,"Overdue","Open")))</f>
        <v>Overdue</v>
      </c>
      <c r="U45" s="11"/>
      <c r="V45" s="11"/>
      <c r="W45" s="11"/>
      <c r="X45" s="11"/>
      <c r="Y45" s="11" t="str">
        <f aca="false">IF(AND(S45="Completed",P45&lt;&gt;"",Q45&lt;&gt;""),IF(AND(T45="Late",X45="Yes",W45="Yes"),"Excluded (validated delay)","Yes"),"No")</f>
        <v>No</v>
      </c>
      <c r="Z45" s="13" t="s">
        <v>1407</v>
      </c>
    </row>
    <row r="46" customFormat="false" ht="23.25" hidden="false" customHeight="true" outlineLevel="0" collapsed="false">
      <c r="A46" s="11" t="n">
        <v>41</v>
      </c>
      <c r="B46" s="11" t="s">
        <v>1409</v>
      </c>
      <c r="C46" s="11" t="s">
        <v>1410</v>
      </c>
      <c r="D46" s="11" t="s">
        <v>1411</v>
      </c>
      <c r="E46" s="11" t="s">
        <v>1412</v>
      </c>
      <c r="F46" s="11" t="s">
        <v>199</v>
      </c>
      <c r="G46" s="11" t="s">
        <v>198</v>
      </c>
      <c r="H46" s="11" t="s">
        <v>199</v>
      </c>
      <c r="I46" s="11" t="s">
        <v>1384</v>
      </c>
      <c r="J46" s="11" t="s">
        <v>1395</v>
      </c>
      <c r="K46" s="19" t="n">
        <v>0.333333333333333</v>
      </c>
      <c r="L46" s="11" t="s">
        <v>96</v>
      </c>
      <c r="M46" s="11"/>
      <c r="N46" s="11" t="s">
        <v>1270</v>
      </c>
      <c r="O46" s="20"/>
      <c r="P46" s="20" t="n">
        <v>46308</v>
      </c>
      <c r="Q46" s="20"/>
      <c r="R46" s="11" t="s">
        <v>1308</v>
      </c>
      <c r="S46" s="11" t="s">
        <v>1309</v>
      </c>
      <c r="T46" s="11" t="str">
        <f aca="false">IF(P46="","No deadline",IF(Q46&lt;&gt;"",IF(Q46&gt;P46,"Late","On time"),IF(README!$B$4&gt;P46,"Overdue","Open")))</f>
        <v>Open</v>
      </c>
      <c r="U46" s="11"/>
      <c r="V46" s="11"/>
      <c r="W46" s="11"/>
      <c r="X46" s="11"/>
      <c r="Y46" s="11" t="str">
        <f aca="false">IF(AND(S46="Completed",P46&lt;&gt;"",Q46&lt;&gt;""),IF(AND(T46="Late",X46="Yes",W46="Yes"),"Excluded (validated delay)","Yes"),"No")</f>
        <v>No</v>
      </c>
      <c r="Z46" s="13" t="s">
        <v>1413</v>
      </c>
    </row>
    <row r="47" customFormat="false" ht="23.25" hidden="false" customHeight="true" outlineLevel="0" collapsed="false">
      <c r="A47" s="11" t="n">
        <v>41</v>
      </c>
      <c r="B47" s="11" t="s">
        <v>1409</v>
      </c>
      <c r="C47" s="11" t="s">
        <v>1410</v>
      </c>
      <c r="D47" s="11" t="s">
        <v>1411</v>
      </c>
      <c r="E47" s="11" t="s">
        <v>1412</v>
      </c>
      <c r="F47" s="11" t="s">
        <v>196</v>
      </c>
      <c r="G47" s="11" t="s">
        <v>195</v>
      </c>
      <c r="H47" s="11" t="s">
        <v>196</v>
      </c>
      <c r="I47" s="11" t="s">
        <v>1414</v>
      </c>
      <c r="J47" s="11" t="s">
        <v>1395</v>
      </c>
      <c r="K47" s="19" t="n">
        <v>0.333333333333333</v>
      </c>
      <c r="L47" s="11" t="s">
        <v>96</v>
      </c>
      <c r="M47" s="11"/>
      <c r="N47" s="11" t="s">
        <v>1270</v>
      </c>
      <c r="O47" s="20"/>
      <c r="P47" s="20" t="n">
        <v>46308</v>
      </c>
      <c r="Q47" s="20"/>
      <c r="R47" s="11" t="s">
        <v>1308</v>
      </c>
      <c r="S47" s="11" t="s">
        <v>1309</v>
      </c>
      <c r="T47" s="11" t="str">
        <f aca="false">IF(P47="","No deadline",IF(Q47&lt;&gt;"",IF(Q47&gt;P47,"Late","On time"),IF(README!$B$4&gt;P47,"Overdue","Open")))</f>
        <v>Open</v>
      </c>
      <c r="U47" s="11"/>
      <c r="V47" s="11"/>
      <c r="W47" s="11"/>
      <c r="X47" s="11"/>
      <c r="Y47" s="11" t="str">
        <f aca="false">IF(AND(S47="Completed",P47&lt;&gt;"",Q47&lt;&gt;""),IF(AND(T47="Late",X47="Yes",W47="Yes"),"Excluded (validated delay)","Yes"),"No")</f>
        <v>No</v>
      </c>
      <c r="Z47" s="13" t="s">
        <v>1413</v>
      </c>
    </row>
    <row r="48" customFormat="false" ht="23.25" hidden="false" customHeight="true" outlineLevel="0" collapsed="false">
      <c r="A48" s="11" t="n">
        <v>41</v>
      </c>
      <c r="B48" s="11" t="s">
        <v>1409</v>
      </c>
      <c r="C48" s="11" t="s">
        <v>1410</v>
      </c>
      <c r="D48" s="11" t="s">
        <v>1411</v>
      </c>
      <c r="E48" s="11" t="s">
        <v>1412</v>
      </c>
      <c r="F48" s="11" t="s">
        <v>1415</v>
      </c>
      <c r="G48" s="11" t="s">
        <v>140</v>
      </c>
      <c r="H48" s="11" t="s">
        <v>141</v>
      </c>
      <c r="I48" s="11" t="s">
        <v>1377</v>
      </c>
      <c r="J48" s="11" t="s">
        <v>1395</v>
      </c>
      <c r="K48" s="19" t="n">
        <v>0.333333333333333</v>
      </c>
      <c r="L48" s="11" t="s">
        <v>96</v>
      </c>
      <c r="M48" s="11"/>
      <c r="N48" s="11" t="s">
        <v>1270</v>
      </c>
      <c r="O48" s="20"/>
      <c r="P48" s="20" t="n">
        <v>46308</v>
      </c>
      <c r="Q48" s="20"/>
      <c r="R48" s="11" t="s">
        <v>1308</v>
      </c>
      <c r="S48" s="11" t="s">
        <v>1309</v>
      </c>
      <c r="T48" s="11" t="str">
        <f aca="false">IF(P48="","No deadline",IF(Q48&lt;&gt;"",IF(Q48&gt;P48,"Late","On time"),IF(README!$B$4&gt;P48,"Overdue","Open")))</f>
        <v>Open</v>
      </c>
      <c r="U48" s="11"/>
      <c r="V48" s="11"/>
      <c r="W48" s="11"/>
      <c r="X48" s="11"/>
      <c r="Y48" s="11" t="str">
        <f aca="false">IF(AND(S48="Completed",P48&lt;&gt;"",Q48&lt;&gt;""),IF(AND(T48="Late",X48="Yes",W48="Yes"),"Excluded (validated delay)","Yes"),"No")</f>
        <v>No</v>
      </c>
      <c r="Z48" s="13" t="s">
        <v>1413</v>
      </c>
    </row>
    <row r="49" customFormat="false" ht="23.25" hidden="false" customHeight="true" outlineLevel="0" collapsed="false">
      <c r="A49" s="11" t="n">
        <v>42</v>
      </c>
      <c r="B49" s="11" t="s">
        <v>1416</v>
      </c>
      <c r="C49" s="11" t="s">
        <v>1417</v>
      </c>
      <c r="D49" s="11" t="s">
        <v>1418</v>
      </c>
      <c r="E49" s="11" t="s">
        <v>1419</v>
      </c>
      <c r="F49" s="11" t="s">
        <v>1420</v>
      </c>
      <c r="G49" s="11"/>
      <c r="H49" s="11" t="s">
        <v>1420</v>
      </c>
      <c r="I49" s="11" t="s">
        <v>1421</v>
      </c>
      <c r="J49" s="11" t="s">
        <v>1395</v>
      </c>
      <c r="K49" s="19" t="n">
        <v>0.333333333333333</v>
      </c>
      <c r="L49" s="11" t="s">
        <v>96</v>
      </c>
      <c r="M49" s="11"/>
      <c r="N49" s="11" t="s">
        <v>1251</v>
      </c>
      <c r="O49" s="20" t="n">
        <v>46268</v>
      </c>
      <c r="P49" s="20" t="n">
        <v>46270</v>
      </c>
      <c r="Q49" s="20"/>
      <c r="R49" s="11" t="s">
        <v>1308</v>
      </c>
      <c r="S49" s="11" t="s">
        <v>1309</v>
      </c>
      <c r="T49" s="11" t="str">
        <f aca="false">IF(P49="","No deadline",IF(Q49&lt;&gt;"",IF(Q49&gt;P49,"Late","On time"),IF(README!$B$4&gt;P49,"Overdue","Open")))</f>
        <v>Overdue</v>
      </c>
      <c r="U49" s="11"/>
      <c r="V49" s="11"/>
      <c r="W49" s="11"/>
      <c r="X49" s="11"/>
      <c r="Y49" s="11" t="str">
        <f aca="false">IF(AND(S49="Completed",P49&lt;&gt;"",Q49&lt;&gt;""),IF(AND(T49="Late",X49="Yes",W49="Yes"),"Excluded (validated delay)","Yes"),"No")</f>
        <v>No</v>
      </c>
      <c r="Z49" s="13" t="s">
        <v>1422</v>
      </c>
    </row>
    <row r="50" customFormat="false" ht="23.25" hidden="false" customHeight="true" outlineLevel="0" collapsed="false">
      <c r="A50" s="11" t="n">
        <v>42</v>
      </c>
      <c r="B50" s="11" t="s">
        <v>1416</v>
      </c>
      <c r="C50" s="11" t="s">
        <v>1417</v>
      </c>
      <c r="D50" s="11" t="s">
        <v>1418</v>
      </c>
      <c r="E50" s="11" t="s">
        <v>1419</v>
      </c>
      <c r="F50" s="11" t="s">
        <v>1406</v>
      </c>
      <c r="G50" s="11" t="s">
        <v>247</v>
      </c>
      <c r="H50" s="11" t="s">
        <v>248</v>
      </c>
      <c r="I50" s="11" t="s">
        <v>1384</v>
      </c>
      <c r="J50" s="11" t="s">
        <v>1395</v>
      </c>
      <c r="K50" s="19" t="n">
        <v>0.333333333333333</v>
      </c>
      <c r="L50" s="11" t="s">
        <v>96</v>
      </c>
      <c r="M50" s="11"/>
      <c r="N50" s="11" t="s">
        <v>1251</v>
      </c>
      <c r="O50" s="20" t="n">
        <v>46268</v>
      </c>
      <c r="P50" s="20" t="n">
        <v>46270</v>
      </c>
      <c r="Q50" s="20"/>
      <c r="R50" s="11" t="s">
        <v>1308</v>
      </c>
      <c r="S50" s="11" t="s">
        <v>1309</v>
      </c>
      <c r="T50" s="11" t="str">
        <f aca="false">IF(P50="","No deadline",IF(Q50&lt;&gt;"",IF(Q50&gt;P50,"Late","On time"),IF(README!$B$4&gt;P50,"Overdue","Open")))</f>
        <v>Overdue</v>
      </c>
      <c r="U50" s="11"/>
      <c r="V50" s="11"/>
      <c r="W50" s="11"/>
      <c r="X50" s="11"/>
      <c r="Y50" s="11" t="str">
        <f aca="false">IF(AND(S50="Completed",P50&lt;&gt;"",Q50&lt;&gt;""),IF(AND(T50="Late",X50="Yes",W50="Yes"),"Excluded (validated delay)","Yes"),"No")</f>
        <v>No</v>
      </c>
      <c r="Z50" s="13" t="s">
        <v>1413</v>
      </c>
    </row>
    <row r="51" customFormat="false" ht="23.25" hidden="false" customHeight="true" outlineLevel="0" collapsed="false">
      <c r="A51" s="11" t="n">
        <v>42</v>
      </c>
      <c r="B51" s="11" t="s">
        <v>1416</v>
      </c>
      <c r="C51" s="11" t="s">
        <v>1417</v>
      </c>
      <c r="D51" s="11" t="s">
        <v>1418</v>
      </c>
      <c r="E51" s="11" t="s">
        <v>1419</v>
      </c>
      <c r="F51" s="11" t="s">
        <v>1408</v>
      </c>
      <c r="G51" s="11" t="s">
        <v>230</v>
      </c>
      <c r="H51" s="11" t="s">
        <v>231</v>
      </c>
      <c r="I51" s="11" t="s">
        <v>1377</v>
      </c>
      <c r="J51" s="11" t="s">
        <v>1395</v>
      </c>
      <c r="K51" s="19" t="n">
        <v>0.333333333333333</v>
      </c>
      <c r="L51" s="11" t="s">
        <v>96</v>
      </c>
      <c r="M51" s="11"/>
      <c r="N51" s="11" t="s">
        <v>1251</v>
      </c>
      <c r="O51" s="20" t="n">
        <v>46268</v>
      </c>
      <c r="P51" s="20" t="n">
        <v>46270</v>
      </c>
      <c r="Q51" s="20"/>
      <c r="R51" s="11" t="s">
        <v>1308</v>
      </c>
      <c r="S51" s="11" t="s">
        <v>1309</v>
      </c>
      <c r="T51" s="11" t="str">
        <f aca="false">IF(P51="","No deadline",IF(Q51&lt;&gt;"",IF(Q51&gt;P51,"Late","On time"),IF(README!$B$4&gt;P51,"Overdue","Open")))</f>
        <v>Overdue</v>
      </c>
      <c r="U51" s="11"/>
      <c r="V51" s="11"/>
      <c r="W51" s="11"/>
      <c r="X51" s="11"/>
      <c r="Y51" s="11" t="str">
        <f aca="false">IF(AND(S51="Completed",P51&lt;&gt;"",Q51&lt;&gt;""),IF(AND(T51="Late",X51="Yes",W51="Yes"),"Excluded (validated delay)","Yes"),"No")</f>
        <v>No</v>
      </c>
      <c r="Z51" s="13" t="s">
        <v>1413</v>
      </c>
    </row>
    <row r="52" customFormat="false" ht="34.5" hidden="false" customHeight="true" outlineLevel="0" collapsed="false">
      <c r="A52" s="11" t="n">
        <v>43</v>
      </c>
      <c r="B52" s="11" t="s">
        <v>1423</v>
      </c>
      <c r="C52" s="11" t="s">
        <v>1424</v>
      </c>
      <c r="D52" s="11" t="s">
        <v>1425</v>
      </c>
      <c r="E52" s="11" t="s">
        <v>1426</v>
      </c>
      <c r="F52" s="11" t="s">
        <v>1420</v>
      </c>
      <c r="G52" s="11"/>
      <c r="H52" s="11" t="s">
        <v>1420</v>
      </c>
      <c r="I52" s="11" t="s">
        <v>1421</v>
      </c>
      <c r="J52" s="11" t="s">
        <v>1395</v>
      </c>
      <c r="K52" s="19" t="n">
        <v>0.5</v>
      </c>
      <c r="L52" s="11" t="s">
        <v>96</v>
      </c>
      <c r="M52" s="11"/>
      <c r="N52" s="11" t="s">
        <v>1251</v>
      </c>
      <c r="O52" s="20" t="n">
        <v>46268</v>
      </c>
      <c r="P52" s="20" t="n">
        <v>46268</v>
      </c>
      <c r="Q52" s="20"/>
      <c r="R52" s="11" t="s">
        <v>1345</v>
      </c>
      <c r="S52" s="11" t="s">
        <v>1309</v>
      </c>
      <c r="T52" s="11" t="str">
        <f aca="false">IF(P52="","No deadline",IF(Q52&lt;&gt;"",IF(Q52&gt;P52,"Late","On time"),IF(README!$B$4&gt;P52,"Overdue","Open")))</f>
        <v>Overdue</v>
      </c>
      <c r="U52" s="11"/>
      <c r="V52" s="11"/>
      <c r="W52" s="11"/>
      <c r="X52" s="11"/>
      <c r="Y52" s="11" t="str">
        <f aca="false">IF(AND(S52="Completed",P52&lt;&gt;"",Q52&lt;&gt;""),IF(AND(T52="Late",X52="Yes",W52="Yes"),"Excluded (validated delay)","Yes"),"No")</f>
        <v>No</v>
      </c>
      <c r="Z52" s="13" t="s">
        <v>1427</v>
      </c>
    </row>
    <row r="53" customFormat="false" ht="34.5" hidden="false" customHeight="true" outlineLevel="0" collapsed="false">
      <c r="A53" s="11" t="n">
        <v>43</v>
      </c>
      <c r="B53" s="11" t="s">
        <v>1423</v>
      </c>
      <c r="C53" s="11" t="s">
        <v>1424</v>
      </c>
      <c r="D53" s="11" t="s">
        <v>1425</v>
      </c>
      <c r="E53" s="11" t="s">
        <v>1426</v>
      </c>
      <c r="F53" s="11" t="s">
        <v>1400</v>
      </c>
      <c r="G53" s="11" t="s">
        <v>147</v>
      </c>
      <c r="H53" s="11" t="s">
        <v>148</v>
      </c>
      <c r="I53" s="11" t="s">
        <v>1377</v>
      </c>
      <c r="J53" s="11" t="s">
        <v>1395</v>
      </c>
      <c r="K53" s="19" t="n">
        <v>0.5</v>
      </c>
      <c r="L53" s="11" t="s">
        <v>96</v>
      </c>
      <c r="M53" s="11"/>
      <c r="N53" s="11" t="s">
        <v>1251</v>
      </c>
      <c r="O53" s="20" t="n">
        <v>46268</v>
      </c>
      <c r="P53" s="20" t="n">
        <v>46268</v>
      </c>
      <c r="Q53" s="20"/>
      <c r="R53" s="11" t="s">
        <v>1345</v>
      </c>
      <c r="S53" s="11" t="s">
        <v>1309</v>
      </c>
      <c r="T53" s="11" t="str">
        <f aca="false">IF(P53="","No deadline",IF(Q53&lt;&gt;"",IF(Q53&gt;P53,"Late","On time"),IF(README!$B$4&gt;P53,"Overdue","Open")))</f>
        <v>Overdue</v>
      </c>
      <c r="U53" s="11"/>
      <c r="V53" s="11"/>
      <c r="W53" s="11"/>
      <c r="X53" s="11"/>
      <c r="Y53" s="11" t="str">
        <f aca="false">IF(AND(S53="Completed",P53&lt;&gt;"",Q53&lt;&gt;""),IF(AND(T53="Late",X53="Yes",W53="Yes"),"Excluded (validated delay)","Yes"),"No")</f>
        <v>No</v>
      </c>
      <c r="Z53" s="13" t="s">
        <v>1397</v>
      </c>
    </row>
    <row r="54" customFormat="false" ht="23.25" hidden="false" customHeight="true" outlineLevel="0" collapsed="false">
      <c r="A54" s="11" t="n">
        <v>44</v>
      </c>
      <c r="B54" s="11" t="s">
        <v>1428</v>
      </c>
      <c r="C54" s="11" t="s">
        <v>1429</v>
      </c>
      <c r="D54" s="11" t="s">
        <v>1430</v>
      </c>
      <c r="E54" s="11" t="s">
        <v>1431</v>
      </c>
      <c r="F54" s="11" t="s">
        <v>1432</v>
      </c>
      <c r="G54" s="11"/>
      <c r="H54" s="11" t="s">
        <v>1432</v>
      </c>
      <c r="I54" s="11" t="s">
        <v>1421</v>
      </c>
      <c r="J54" s="11" t="s">
        <v>1395</v>
      </c>
      <c r="K54" s="19" t="n">
        <v>0.333333333333333</v>
      </c>
      <c r="L54" s="11" t="s">
        <v>96</v>
      </c>
      <c r="M54" s="11"/>
      <c r="N54" s="11" t="s">
        <v>1251</v>
      </c>
      <c r="O54" s="20" t="n">
        <v>46253</v>
      </c>
      <c r="P54" s="20" t="n">
        <v>46268</v>
      </c>
      <c r="Q54" s="20"/>
      <c r="R54" s="11" t="s">
        <v>1308</v>
      </c>
      <c r="S54" s="11" t="s">
        <v>1309</v>
      </c>
      <c r="T54" s="11" t="str">
        <f aca="false">IF(P54="","No deadline",IF(Q54&lt;&gt;"",IF(Q54&gt;P54,"Late","On time"),IF(README!$B$4&gt;P54,"Overdue","Open")))</f>
        <v>Overdue</v>
      </c>
      <c r="U54" s="11"/>
      <c r="V54" s="11"/>
      <c r="W54" s="11"/>
      <c r="X54" s="11"/>
      <c r="Y54" s="11" t="str">
        <f aca="false">IF(AND(S54="Completed",P54&lt;&gt;"",Q54&lt;&gt;""),IF(AND(T54="Late",X54="Yes",W54="Yes"),"Excluded (validated delay)","Yes"),"No")</f>
        <v>No</v>
      </c>
      <c r="Z54" s="13" t="s">
        <v>1422</v>
      </c>
    </row>
    <row r="55" customFormat="false" ht="23.25" hidden="false" customHeight="true" outlineLevel="0" collapsed="false">
      <c r="A55" s="11" t="n">
        <v>44</v>
      </c>
      <c r="B55" s="11" t="s">
        <v>1428</v>
      </c>
      <c r="C55" s="11" t="s">
        <v>1429</v>
      </c>
      <c r="D55" s="11" t="s">
        <v>1430</v>
      </c>
      <c r="E55" s="11" t="s">
        <v>1431</v>
      </c>
      <c r="F55" s="11" t="s">
        <v>145</v>
      </c>
      <c r="G55" s="11" t="s">
        <v>144</v>
      </c>
      <c r="H55" s="11" t="s">
        <v>145</v>
      </c>
      <c r="I55" s="11" t="s">
        <v>1384</v>
      </c>
      <c r="J55" s="11" t="s">
        <v>1395</v>
      </c>
      <c r="K55" s="19" t="n">
        <v>0.333333333333333</v>
      </c>
      <c r="L55" s="11" t="s">
        <v>96</v>
      </c>
      <c r="M55" s="11"/>
      <c r="N55" s="11" t="s">
        <v>1251</v>
      </c>
      <c r="O55" s="20" t="n">
        <v>46253</v>
      </c>
      <c r="P55" s="20" t="n">
        <v>46268</v>
      </c>
      <c r="Q55" s="20"/>
      <c r="R55" s="11" t="s">
        <v>1308</v>
      </c>
      <c r="S55" s="11" t="s">
        <v>1309</v>
      </c>
      <c r="T55" s="11" t="str">
        <f aca="false">IF(P55="","No deadline",IF(Q55&lt;&gt;"",IF(Q55&gt;P55,"Late","On time"),IF(README!$B$4&gt;P55,"Overdue","Open")))</f>
        <v>Overdue</v>
      </c>
      <c r="U55" s="11"/>
      <c r="V55" s="11"/>
      <c r="W55" s="11"/>
      <c r="X55" s="11"/>
      <c r="Y55" s="11" t="str">
        <f aca="false">IF(AND(S55="Completed",P55&lt;&gt;"",Q55&lt;&gt;""),IF(AND(T55="Late",X55="Yes",W55="Yes"),"Excluded (validated delay)","Yes"),"No")</f>
        <v>No</v>
      </c>
      <c r="Z55" s="13" t="s">
        <v>1413</v>
      </c>
    </row>
    <row r="56" customFormat="false" ht="23.25" hidden="false" customHeight="true" outlineLevel="0" collapsed="false">
      <c r="A56" s="11" t="n">
        <v>44</v>
      </c>
      <c r="B56" s="11" t="s">
        <v>1428</v>
      </c>
      <c r="C56" s="11" t="s">
        <v>1429</v>
      </c>
      <c r="D56" s="11" t="s">
        <v>1430</v>
      </c>
      <c r="E56" s="11" t="s">
        <v>1431</v>
      </c>
      <c r="F56" s="11" t="s">
        <v>248</v>
      </c>
      <c r="G56" s="11" t="s">
        <v>247</v>
      </c>
      <c r="H56" s="11" t="s">
        <v>248</v>
      </c>
      <c r="I56" s="11" t="s">
        <v>1384</v>
      </c>
      <c r="J56" s="11" t="s">
        <v>1395</v>
      </c>
      <c r="K56" s="19" t="n">
        <v>0.333333333333333</v>
      </c>
      <c r="L56" s="11" t="s">
        <v>96</v>
      </c>
      <c r="M56" s="11"/>
      <c r="N56" s="11" t="s">
        <v>1251</v>
      </c>
      <c r="O56" s="20" t="n">
        <v>46253</v>
      </c>
      <c r="P56" s="20" t="n">
        <v>46268</v>
      </c>
      <c r="Q56" s="20"/>
      <c r="R56" s="11" t="s">
        <v>1308</v>
      </c>
      <c r="S56" s="11" t="s">
        <v>1309</v>
      </c>
      <c r="T56" s="11" t="str">
        <f aca="false">IF(P56="","No deadline",IF(Q56&lt;&gt;"",IF(Q56&gt;P56,"Late","On time"),IF(README!$B$4&gt;P56,"Overdue","Open")))</f>
        <v>Overdue</v>
      </c>
      <c r="U56" s="11"/>
      <c r="V56" s="11"/>
      <c r="W56" s="11"/>
      <c r="X56" s="11"/>
      <c r="Y56" s="11" t="str">
        <f aca="false">IF(AND(S56="Completed",P56&lt;&gt;"",Q56&lt;&gt;""),IF(AND(T56="Late",X56="Yes",W56="Yes"),"Excluded (validated delay)","Yes"),"No")</f>
        <v>No</v>
      </c>
      <c r="Z56" s="13" t="s">
        <v>1413</v>
      </c>
    </row>
    <row r="57" customFormat="false" ht="23.25" hidden="false" customHeight="true" outlineLevel="0" collapsed="false">
      <c r="A57" s="11" t="n">
        <v>45</v>
      </c>
      <c r="B57" s="11" t="s">
        <v>1433</v>
      </c>
      <c r="C57" s="11" t="s">
        <v>1434</v>
      </c>
      <c r="D57" s="11" t="s">
        <v>1435</v>
      </c>
      <c r="E57" s="11" t="s">
        <v>1436</v>
      </c>
      <c r="F57" s="11" t="s">
        <v>833</v>
      </c>
      <c r="G57" s="11" t="s">
        <v>832</v>
      </c>
      <c r="H57" s="11" t="s">
        <v>833</v>
      </c>
      <c r="I57" s="11" t="s">
        <v>1384</v>
      </c>
      <c r="J57" s="11" t="s">
        <v>1395</v>
      </c>
      <c r="K57" s="19" t="n">
        <v>0.333333333333333</v>
      </c>
      <c r="L57" s="11" t="s">
        <v>830</v>
      </c>
      <c r="M57" s="11" t="s">
        <v>828</v>
      </c>
      <c r="N57" s="12"/>
      <c r="O57" s="20" t="n">
        <v>46087</v>
      </c>
      <c r="P57" s="20" t="n">
        <v>46184</v>
      </c>
      <c r="Q57" s="20"/>
      <c r="R57" s="11" t="s">
        <v>1308</v>
      </c>
      <c r="S57" s="11" t="s">
        <v>1309</v>
      </c>
      <c r="T57" s="11" t="str">
        <f aca="false">IF(P57="","No deadline",IF(Q57&lt;&gt;"",IF(Q57&gt;P57,"Late","On time"),IF(README!$B$4&gt;P57,"Overdue","Open")))</f>
        <v>Overdue</v>
      </c>
      <c r="U57" s="11"/>
      <c r="V57" s="11"/>
      <c r="W57" s="11"/>
      <c r="X57" s="11"/>
      <c r="Y57" s="11" t="str">
        <f aca="false">IF(AND(S57="Completed",P57&lt;&gt;"",Q57&lt;&gt;""),IF(AND(T57="Late",X57="Yes",W57="Yes"),"Excluded (validated delay)","Yes"),"No")</f>
        <v>No</v>
      </c>
      <c r="Z57" s="13" t="s">
        <v>1437</v>
      </c>
    </row>
    <row r="58" customFormat="false" ht="23.25" hidden="false" customHeight="true" outlineLevel="0" collapsed="false">
      <c r="A58" s="11" t="n">
        <v>45</v>
      </c>
      <c r="B58" s="11" t="s">
        <v>1433</v>
      </c>
      <c r="C58" s="11" t="s">
        <v>1434</v>
      </c>
      <c r="D58" s="11" t="s">
        <v>1435</v>
      </c>
      <c r="E58" s="11" t="s">
        <v>1436</v>
      </c>
      <c r="F58" s="11" t="s">
        <v>836</v>
      </c>
      <c r="G58" s="11" t="s">
        <v>835</v>
      </c>
      <c r="H58" s="11" t="s">
        <v>836</v>
      </c>
      <c r="I58" s="11" t="s">
        <v>1384</v>
      </c>
      <c r="J58" s="11" t="s">
        <v>1395</v>
      </c>
      <c r="K58" s="19" t="n">
        <v>0.333333333333333</v>
      </c>
      <c r="L58" s="11" t="s">
        <v>830</v>
      </c>
      <c r="M58" s="11" t="s">
        <v>828</v>
      </c>
      <c r="N58" s="12"/>
      <c r="O58" s="20" t="n">
        <v>46087</v>
      </c>
      <c r="P58" s="20" t="n">
        <v>46184</v>
      </c>
      <c r="Q58" s="20"/>
      <c r="R58" s="11" t="s">
        <v>1308</v>
      </c>
      <c r="S58" s="11" t="s">
        <v>1309</v>
      </c>
      <c r="T58" s="11" t="str">
        <f aca="false">IF(P58="","No deadline",IF(Q58&lt;&gt;"",IF(Q58&gt;P58,"Late","On time"),IF(README!$B$4&gt;P58,"Overdue","Open")))</f>
        <v>Overdue</v>
      </c>
      <c r="U58" s="11"/>
      <c r="V58" s="11"/>
      <c r="W58" s="11"/>
      <c r="X58" s="11"/>
      <c r="Y58" s="11" t="str">
        <f aca="false">IF(AND(S58="Completed",P58&lt;&gt;"",Q58&lt;&gt;""),IF(AND(T58="Late",X58="Yes",W58="Yes"),"Excluded (validated delay)","Yes"),"No")</f>
        <v>No</v>
      </c>
      <c r="Z58" s="13" t="s">
        <v>1437</v>
      </c>
    </row>
    <row r="59" customFormat="false" ht="23.25" hidden="false" customHeight="true" outlineLevel="0" collapsed="false">
      <c r="A59" s="11" t="n">
        <v>45</v>
      </c>
      <c r="B59" s="11" t="s">
        <v>1433</v>
      </c>
      <c r="C59" s="11" t="s">
        <v>1434</v>
      </c>
      <c r="D59" s="11" t="s">
        <v>1435</v>
      </c>
      <c r="E59" s="11" t="s">
        <v>1436</v>
      </c>
      <c r="F59" s="11" t="s">
        <v>1438</v>
      </c>
      <c r="G59" s="11" t="s">
        <v>886</v>
      </c>
      <c r="H59" s="11" t="s">
        <v>887</v>
      </c>
      <c r="I59" s="11" t="s">
        <v>1439</v>
      </c>
      <c r="J59" s="11" t="s">
        <v>1395</v>
      </c>
      <c r="K59" s="19" t="n">
        <v>0.333333333333333</v>
      </c>
      <c r="L59" s="11" t="s">
        <v>830</v>
      </c>
      <c r="M59" s="11" t="s">
        <v>828</v>
      </c>
      <c r="N59" s="12"/>
      <c r="O59" s="20" t="n">
        <v>46087</v>
      </c>
      <c r="P59" s="20" t="n">
        <v>46184</v>
      </c>
      <c r="Q59" s="20"/>
      <c r="R59" s="11" t="s">
        <v>1308</v>
      </c>
      <c r="S59" s="11" t="s">
        <v>1309</v>
      </c>
      <c r="T59" s="11" t="str">
        <f aca="false">IF(P59="","No deadline",IF(Q59&lt;&gt;"",IF(Q59&gt;P59,"Late","On time"),IF(README!$B$4&gt;P59,"Overdue","Open")))</f>
        <v>Overdue</v>
      </c>
      <c r="U59" s="11"/>
      <c r="V59" s="11"/>
      <c r="W59" s="11"/>
      <c r="X59" s="11"/>
      <c r="Y59" s="11" t="str">
        <f aca="false">IF(AND(S59="Completed",P59&lt;&gt;"",Q59&lt;&gt;""),IF(AND(T59="Late",X59="Yes",W59="Yes"),"Excluded (validated delay)","Yes"),"No")</f>
        <v>No</v>
      </c>
      <c r="Z59" s="13" t="s">
        <v>1437</v>
      </c>
    </row>
    <row r="60" customFormat="false" ht="34.5" hidden="false" customHeight="true" outlineLevel="0" collapsed="false">
      <c r="A60" s="11" t="n">
        <v>46</v>
      </c>
      <c r="B60" s="11" t="s">
        <v>1433</v>
      </c>
      <c r="C60" s="11" t="s">
        <v>1434</v>
      </c>
      <c r="D60" s="11" t="s">
        <v>1440</v>
      </c>
      <c r="E60" s="11" t="s">
        <v>1441</v>
      </c>
      <c r="F60" s="11" t="s">
        <v>833</v>
      </c>
      <c r="G60" s="11" t="s">
        <v>832</v>
      </c>
      <c r="H60" s="11" t="s">
        <v>833</v>
      </c>
      <c r="I60" s="11" t="s">
        <v>1384</v>
      </c>
      <c r="J60" s="11" t="s">
        <v>1395</v>
      </c>
      <c r="K60" s="19" t="n">
        <v>0.333333333333333</v>
      </c>
      <c r="L60" s="11" t="s">
        <v>830</v>
      </c>
      <c r="M60" s="11" t="s">
        <v>828</v>
      </c>
      <c r="N60" s="12"/>
      <c r="O60" s="20" t="n">
        <v>46087</v>
      </c>
      <c r="P60" s="20"/>
      <c r="Q60" s="20"/>
      <c r="R60" s="11" t="s">
        <v>1308</v>
      </c>
      <c r="S60" s="11" t="s">
        <v>1309</v>
      </c>
      <c r="T60" s="11" t="str">
        <f aca="false">IF(P60="","No deadline",IF(Q60&lt;&gt;"",IF(Q60&gt;P60,"Late","On time"),IF(README!$B$4&gt;P60,"Overdue","Open")))</f>
        <v>No deadline</v>
      </c>
      <c r="U60" s="11"/>
      <c r="V60" s="11"/>
      <c r="W60" s="11"/>
      <c r="X60" s="11"/>
      <c r="Y60" s="11" t="str">
        <f aca="false">IF(AND(S60="Completed",P60&lt;&gt;"",Q60&lt;&gt;""),IF(AND(T60="Late",X60="Yes",W60="Yes"),"Excluded (validated delay)","Yes"),"No")</f>
        <v>No</v>
      </c>
      <c r="Z60" s="13" t="s">
        <v>1442</v>
      </c>
    </row>
    <row r="61" customFormat="false" ht="34.5" hidden="false" customHeight="true" outlineLevel="0" collapsed="false">
      <c r="A61" s="11" t="n">
        <v>46</v>
      </c>
      <c r="B61" s="11" t="s">
        <v>1433</v>
      </c>
      <c r="C61" s="11" t="s">
        <v>1434</v>
      </c>
      <c r="D61" s="11" t="s">
        <v>1440</v>
      </c>
      <c r="E61" s="11" t="s">
        <v>1441</v>
      </c>
      <c r="F61" s="11" t="s">
        <v>836</v>
      </c>
      <c r="G61" s="11" t="s">
        <v>835</v>
      </c>
      <c r="H61" s="11" t="s">
        <v>836</v>
      </c>
      <c r="I61" s="11" t="s">
        <v>1384</v>
      </c>
      <c r="J61" s="11" t="s">
        <v>1395</v>
      </c>
      <c r="K61" s="19" t="n">
        <v>0.333333333333333</v>
      </c>
      <c r="L61" s="11" t="s">
        <v>830</v>
      </c>
      <c r="M61" s="11" t="s">
        <v>828</v>
      </c>
      <c r="N61" s="12"/>
      <c r="O61" s="20" t="n">
        <v>46087</v>
      </c>
      <c r="P61" s="20"/>
      <c r="Q61" s="20"/>
      <c r="R61" s="11" t="s">
        <v>1308</v>
      </c>
      <c r="S61" s="11" t="s">
        <v>1309</v>
      </c>
      <c r="T61" s="11" t="str">
        <f aca="false">IF(P61="","No deadline",IF(Q61&lt;&gt;"",IF(Q61&gt;P61,"Late","On time"),IF(README!$B$4&gt;P61,"Overdue","Open")))</f>
        <v>No deadline</v>
      </c>
      <c r="U61" s="11"/>
      <c r="V61" s="11"/>
      <c r="W61" s="11"/>
      <c r="X61" s="11"/>
      <c r="Y61" s="11" t="str">
        <f aca="false">IF(AND(S61="Completed",P61&lt;&gt;"",Q61&lt;&gt;""),IF(AND(T61="Late",X61="Yes",W61="Yes"),"Excluded (validated delay)","Yes"),"No")</f>
        <v>No</v>
      </c>
      <c r="Z61" s="13" t="s">
        <v>1442</v>
      </c>
    </row>
    <row r="62" customFormat="false" ht="34.5" hidden="false" customHeight="true" outlineLevel="0" collapsed="false">
      <c r="A62" s="11" t="n">
        <v>46</v>
      </c>
      <c r="B62" s="11" t="s">
        <v>1433</v>
      </c>
      <c r="C62" s="11" t="s">
        <v>1434</v>
      </c>
      <c r="D62" s="11" t="s">
        <v>1440</v>
      </c>
      <c r="E62" s="11" t="s">
        <v>1441</v>
      </c>
      <c r="F62" s="11" t="s">
        <v>1438</v>
      </c>
      <c r="G62" s="11" t="s">
        <v>886</v>
      </c>
      <c r="H62" s="11" t="s">
        <v>887</v>
      </c>
      <c r="I62" s="11" t="s">
        <v>1439</v>
      </c>
      <c r="J62" s="11" t="s">
        <v>1395</v>
      </c>
      <c r="K62" s="19" t="n">
        <v>0.333333333333333</v>
      </c>
      <c r="L62" s="11" t="s">
        <v>830</v>
      </c>
      <c r="M62" s="11" t="s">
        <v>828</v>
      </c>
      <c r="N62" s="12"/>
      <c r="O62" s="20" t="n">
        <v>46087</v>
      </c>
      <c r="P62" s="20"/>
      <c r="Q62" s="20"/>
      <c r="R62" s="11" t="s">
        <v>1308</v>
      </c>
      <c r="S62" s="11" t="s">
        <v>1309</v>
      </c>
      <c r="T62" s="11" t="str">
        <f aca="false">IF(P62="","No deadline",IF(Q62&lt;&gt;"",IF(Q62&gt;P62,"Late","On time"),IF(README!$B$4&gt;P62,"Overdue","Open")))</f>
        <v>No deadline</v>
      </c>
      <c r="U62" s="11"/>
      <c r="V62" s="11"/>
      <c r="W62" s="11"/>
      <c r="X62" s="11"/>
      <c r="Y62" s="11" t="str">
        <f aca="false">IF(AND(S62="Completed",P62&lt;&gt;"",Q62&lt;&gt;""),IF(AND(T62="Late",X62="Yes",W62="Yes"),"Excluded (validated delay)","Yes"),"No")</f>
        <v>No</v>
      </c>
      <c r="Z62" s="13" t="s">
        <v>1442</v>
      </c>
    </row>
    <row r="63" customFormat="false" ht="34.5" hidden="false" customHeight="true" outlineLevel="0" collapsed="false">
      <c r="A63" s="11" t="n">
        <v>47</v>
      </c>
      <c r="B63" s="11" t="s">
        <v>1433</v>
      </c>
      <c r="C63" s="11" t="s">
        <v>1434</v>
      </c>
      <c r="D63" s="11" t="s">
        <v>1443</v>
      </c>
      <c r="E63" s="11" t="s">
        <v>1444</v>
      </c>
      <c r="F63" s="11" t="s">
        <v>833</v>
      </c>
      <c r="G63" s="11" t="s">
        <v>832</v>
      </c>
      <c r="H63" s="11" t="s">
        <v>833</v>
      </c>
      <c r="I63" s="11" t="s">
        <v>1384</v>
      </c>
      <c r="J63" s="11" t="s">
        <v>1395</v>
      </c>
      <c r="K63" s="19" t="n">
        <v>0.333333333333333</v>
      </c>
      <c r="L63" s="11" t="s">
        <v>830</v>
      </c>
      <c r="M63" s="11" t="s">
        <v>828</v>
      </c>
      <c r="N63" s="12"/>
      <c r="O63" s="20" t="n">
        <v>46087</v>
      </c>
      <c r="P63" s="20"/>
      <c r="Q63" s="20"/>
      <c r="R63" s="11" t="s">
        <v>1308</v>
      </c>
      <c r="S63" s="11" t="s">
        <v>1309</v>
      </c>
      <c r="T63" s="11" t="str">
        <f aca="false">IF(P63="","No deadline",IF(Q63&lt;&gt;"",IF(Q63&gt;P63,"Late","On time"),IF(README!$B$4&gt;P63,"Overdue","Open")))</f>
        <v>No deadline</v>
      </c>
      <c r="U63" s="11"/>
      <c r="V63" s="11"/>
      <c r="W63" s="11"/>
      <c r="X63" s="11"/>
      <c r="Y63" s="11" t="str">
        <f aca="false">IF(AND(S63="Completed",P63&lt;&gt;"",Q63&lt;&gt;""),IF(AND(T63="Late",X63="Yes",W63="Yes"),"Excluded (validated delay)","Yes"),"No")</f>
        <v>No</v>
      </c>
      <c r="Z63" s="13" t="s">
        <v>1442</v>
      </c>
    </row>
    <row r="64" customFormat="false" ht="34.5" hidden="false" customHeight="true" outlineLevel="0" collapsed="false">
      <c r="A64" s="11" t="n">
        <v>47</v>
      </c>
      <c r="B64" s="11" t="s">
        <v>1433</v>
      </c>
      <c r="C64" s="11" t="s">
        <v>1434</v>
      </c>
      <c r="D64" s="11" t="s">
        <v>1443</v>
      </c>
      <c r="E64" s="11" t="s">
        <v>1444</v>
      </c>
      <c r="F64" s="11" t="s">
        <v>836</v>
      </c>
      <c r="G64" s="11" t="s">
        <v>835</v>
      </c>
      <c r="H64" s="11" t="s">
        <v>836</v>
      </c>
      <c r="I64" s="11" t="s">
        <v>1384</v>
      </c>
      <c r="J64" s="11" t="s">
        <v>1395</v>
      </c>
      <c r="K64" s="19" t="n">
        <v>0.333333333333333</v>
      </c>
      <c r="L64" s="11" t="s">
        <v>830</v>
      </c>
      <c r="M64" s="11" t="s">
        <v>828</v>
      </c>
      <c r="N64" s="12"/>
      <c r="O64" s="20" t="n">
        <v>46087</v>
      </c>
      <c r="P64" s="20"/>
      <c r="Q64" s="20"/>
      <c r="R64" s="11" t="s">
        <v>1308</v>
      </c>
      <c r="S64" s="11" t="s">
        <v>1309</v>
      </c>
      <c r="T64" s="11" t="str">
        <f aca="false">IF(P64="","No deadline",IF(Q64&lt;&gt;"",IF(Q64&gt;P64,"Late","On time"),IF(README!$B$4&gt;P64,"Overdue","Open")))</f>
        <v>No deadline</v>
      </c>
      <c r="U64" s="11"/>
      <c r="V64" s="11"/>
      <c r="W64" s="11"/>
      <c r="X64" s="11"/>
      <c r="Y64" s="11" t="str">
        <f aca="false">IF(AND(S64="Completed",P64&lt;&gt;"",Q64&lt;&gt;""),IF(AND(T64="Late",X64="Yes",W64="Yes"),"Excluded (validated delay)","Yes"),"No")</f>
        <v>No</v>
      </c>
      <c r="Z64" s="13" t="s">
        <v>1442</v>
      </c>
    </row>
    <row r="65" customFormat="false" ht="34.5" hidden="false" customHeight="true" outlineLevel="0" collapsed="false">
      <c r="A65" s="11" t="n">
        <v>47</v>
      </c>
      <c r="B65" s="11" t="s">
        <v>1433</v>
      </c>
      <c r="C65" s="11" t="s">
        <v>1434</v>
      </c>
      <c r="D65" s="11" t="s">
        <v>1443</v>
      </c>
      <c r="E65" s="11" t="s">
        <v>1444</v>
      </c>
      <c r="F65" s="11" t="s">
        <v>1438</v>
      </c>
      <c r="G65" s="11" t="s">
        <v>886</v>
      </c>
      <c r="H65" s="11" t="s">
        <v>887</v>
      </c>
      <c r="I65" s="11" t="s">
        <v>1439</v>
      </c>
      <c r="J65" s="11" t="s">
        <v>1395</v>
      </c>
      <c r="K65" s="19" t="n">
        <v>0.333333333333333</v>
      </c>
      <c r="L65" s="11" t="s">
        <v>830</v>
      </c>
      <c r="M65" s="11" t="s">
        <v>828</v>
      </c>
      <c r="N65" s="12"/>
      <c r="O65" s="20" t="n">
        <v>46087</v>
      </c>
      <c r="P65" s="20"/>
      <c r="Q65" s="20"/>
      <c r="R65" s="11" t="s">
        <v>1308</v>
      </c>
      <c r="S65" s="11" t="s">
        <v>1309</v>
      </c>
      <c r="T65" s="11" t="str">
        <f aca="false">IF(P65="","No deadline",IF(Q65&lt;&gt;"",IF(Q65&gt;P65,"Late","On time"),IF(README!$B$4&gt;P65,"Overdue","Open")))</f>
        <v>No deadline</v>
      </c>
      <c r="U65" s="11"/>
      <c r="V65" s="11"/>
      <c r="W65" s="11"/>
      <c r="X65" s="11"/>
      <c r="Y65" s="11" t="str">
        <f aca="false">IF(AND(S65="Completed",P65&lt;&gt;"",Q65&lt;&gt;""),IF(AND(T65="Late",X65="Yes",W65="Yes"),"Excluded (validated delay)","Yes"),"No")</f>
        <v>No</v>
      </c>
      <c r="Z65" s="13" t="s">
        <v>1442</v>
      </c>
    </row>
    <row r="66" customFormat="false" ht="23.25" hidden="false" customHeight="true" outlineLevel="0" collapsed="false">
      <c r="A66" s="11" t="n">
        <v>48</v>
      </c>
      <c r="B66" s="11" t="s">
        <v>1445</v>
      </c>
      <c r="C66" s="11" t="s">
        <v>1446</v>
      </c>
      <c r="D66" s="11" t="s">
        <v>1447</v>
      </c>
      <c r="E66" s="11" t="s">
        <v>1448</v>
      </c>
      <c r="F66" s="11" t="s">
        <v>833</v>
      </c>
      <c r="G66" s="11" t="s">
        <v>832</v>
      </c>
      <c r="H66" s="11" t="s">
        <v>833</v>
      </c>
      <c r="I66" s="11" t="s">
        <v>1384</v>
      </c>
      <c r="J66" s="11" t="s">
        <v>1395</v>
      </c>
      <c r="K66" s="19" t="n">
        <v>0.333333333333333</v>
      </c>
      <c r="L66" s="11" t="s">
        <v>830</v>
      </c>
      <c r="M66" s="11" t="s">
        <v>828</v>
      </c>
      <c r="N66" s="12"/>
      <c r="O66" s="20" t="n">
        <v>46167</v>
      </c>
      <c r="P66" s="20"/>
      <c r="Q66" s="20"/>
      <c r="R66" s="11" t="s">
        <v>1308</v>
      </c>
      <c r="S66" s="11" t="s">
        <v>1309</v>
      </c>
      <c r="T66" s="11" t="str">
        <f aca="false">IF(P66="","No deadline",IF(Q66&lt;&gt;"",IF(Q66&gt;P66,"Late","On time"),IF(README!$B$4&gt;P66,"Overdue","Open")))</f>
        <v>No deadline</v>
      </c>
      <c r="U66" s="11"/>
      <c r="V66" s="11"/>
      <c r="W66" s="11"/>
      <c r="X66" s="11"/>
      <c r="Y66" s="11" t="str">
        <f aca="false">IF(AND(S66="Completed",P66&lt;&gt;"",Q66&lt;&gt;""),IF(AND(T66="Late",X66="Yes",W66="Yes"),"Excluded (validated delay)","Yes"),"No")</f>
        <v>No</v>
      </c>
      <c r="Z66" s="13" t="s">
        <v>1449</v>
      </c>
    </row>
    <row r="67" customFormat="false" ht="23.25" hidden="false" customHeight="true" outlineLevel="0" collapsed="false">
      <c r="A67" s="11" t="n">
        <v>48</v>
      </c>
      <c r="B67" s="11" t="s">
        <v>1445</v>
      </c>
      <c r="C67" s="11" t="s">
        <v>1446</v>
      </c>
      <c r="D67" s="11" t="s">
        <v>1447</v>
      </c>
      <c r="E67" s="11" t="s">
        <v>1448</v>
      </c>
      <c r="F67" s="11" t="s">
        <v>836</v>
      </c>
      <c r="G67" s="11" t="s">
        <v>835</v>
      </c>
      <c r="H67" s="11" t="s">
        <v>836</v>
      </c>
      <c r="I67" s="11" t="s">
        <v>1384</v>
      </c>
      <c r="J67" s="11" t="s">
        <v>1395</v>
      </c>
      <c r="K67" s="19" t="n">
        <v>0.333333333333333</v>
      </c>
      <c r="L67" s="11" t="s">
        <v>830</v>
      </c>
      <c r="M67" s="11" t="s">
        <v>828</v>
      </c>
      <c r="N67" s="12"/>
      <c r="O67" s="20" t="n">
        <v>46167</v>
      </c>
      <c r="P67" s="20"/>
      <c r="Q67" s="20"/>
      <c r="R67" s="11" t="s">
        <v>1308</v>
      </c>
      <c r="S67" s="11" t="s">
        <v>1309</v>
      </c>
      <c r="T67" s="11" t="str">
        <f aca="false">IF(P67="","No deadline",IF(Q67&lt;&gt;"",IF(Q67&gt;P67,"Late","On time"),IF(README!$B$4&gt;P67,"Overdue","Open")))</f>
        <v>No deadline</v>
      </c>
      <c r="U67" s="11"/>
      <c r="V67" s="11"/>
      <c r="W67" s="11"/>
      <c r="X67" s="11"/>
      <c r="Y67" s="11" t="str">
        <f aca="false">IF(AND(S67="Completed",P67&lt;&gt;"",Q67&lt;&gt;""),IF(AND(T67="Late",X67="Yes",W67="Yes"),"Excluded (validated delay)","Yes"),"No")</f>
        <v>No</v>
      </c>
      <c r="Z67" s="13" t="s">
        <v>1449</v>
      </c>
    </row>
    <row r="68" customFormat="false" ht="23.25" hidden="false" customHeight="true" outlineLevel="0" collapsed="false">
      <c r="A68" s="11" t="n">
        <v>48</v>
      </c>
      <c r="B68" s="11" t="s">
        <v>1445</v>
      </c>
      <c r="C68" s="11" t="s">
        <v>1446</v>
      </c>
      <c r="D68" s="11" t="s">
        <v>1447</v>
      </c>
      <c r="E68" s="11" t="s">
        <v>1448</v>
      </c>
      <c r="F68" s="11" t="s">
        <v>1438</v>
      </c>
      <c r="G68" s="11" t="s">
        <v>886</v>
      </c>
      <c r="H68" s="11" t="s">
        <v>887</v>
      </c>
      <c r="I68" s="11" t="s">
        <v>1439</v>
      </c>
      <c r="J68" s="11" t="s">
        <v>1395</v>
      </c>
      <c r="K68" s="19" t="n">
        <v>0.333333333333333</v>
      </c>
      <c r="L68" s="11" t="s">
        <v>830</v>
      </c>
      <c r="M68" s="11" t="s">
        <v>828</v>
      </c>
      <c r="N68" s="12"/>
      <c r="O68" s="20" t="n">
        <v>46167</v>
      </c>
      <c r="P68" s="20"/>
      <c r="Q68" s="20"/>
      <c r="R68" s="11" t="s">
        <v>1308</v>
      </c>
      <c r="S68" s="11" t="s">
        <v>1309</v>
      </c>
      <c r="T68" s="11" t="str">
        <f aca="false">IF(P68="","No deadline",IF(Q68&lt;&gt;"",IF(Q68&gt;P68,"Late","On time"),IF(README!$B$4&gt;P68,"Overdue","Open")))</f>
        <v>No deadline</v>
      </c>
      <c r="U68" s="11"/>
      <c r="V68" s="11"/>
      <c r="W68" s="11"/>
      <c r="X68" s="11"/>
      <c r="Y68" s="11" t="str">
        <f aca="false">IF(AND(S68="Completed",P68&lt;&gt;"",Q68&lt;&gt;""),IF(AND(T68="Late",X68="Yes",W68="Yes"),"Excluded (validated delay)","Yes"),"No")</f>
        <v>No</v>
      </c>
      <c r="Z68" s="13" t="s">
        <v>1449</v>
      </c>
    </row>
    <row r="69" customFormat="false" ht="23.25" hidden="false" customHeight="true" outlineLevel="0" collapsed="false">
      <c r="A69" s="11" t="n">
        <v>49</v>
      </c>
      <c r="B69" s="11" t="s">
        <v>1445</v>
      </c>
      <c r="C69" s="11" t="s">
        <v>1446</v>
      </c>
      <c r="D69" s="11" t="s">
        <v>1450</v>
      </c>
      <c r="E69" s="11" t="s">
        <v>1451</v>
      </c>
      <c r="F69" s="11" t="s">
        <v>833</v>
      </c>
      <c r="G69" s="11" t="s">
        <v>832</v>
      </c>
      <c r="H69" s="11" t="s">
        <v>833</v>
      </c>
      <c r="I69" s="11" t="s">
        <v>1384</v>
      </c>
      <c r="J69" s="11" t="s">
        <v>1395</v>
      </c>
      <c r="K69" s="19" t="n">
        <v>0.333333333333333</v>
      </c>
      <c r="L69" s="11" t="s">
        <v>830</v>
      </c>
      <c r="M69" s="11" t="s">
        <v>828</v>
      </c>
      <c r="N69" s="12"/>
      <c r="O69" s="20" t="n">
        <v>46167</v>
      </c>
      <c r="P69" s="20"/>
      <c r="Q69" s="20"/>
      <c r="R69" s="11" t="s">
        <v>1308</v>
      </c>
      <c r="S69" s="11" t="s">
        <v>1309</v>
      </c>
      <c r="T69" s="11" t="str">
        <f aca="false">IF(P69="","No deadline",IF(Q69&lt;&gt;"",IF(Q69&gt;P69,"Late","On time"),IF(README!$B$4&gt;P69,"Overdue","Open")))</f>
        <v>No deadline</v>
      </c>
      <c r="U69" s="11"/>
      <c r="V69" s="11"/>
      <c r="W69" s="11"/>
      <c r="X69" s="11"/>
      <c r="Y69" s="11" t="str">
        <f aca="false">IF(AND(S69="Completed",P69&lt;&gt;"",Q69&lt;&gt;""),IF(AND(T69="Late",X69="Yes",W69="Yes"),"Excluded (validated delay)","Yes"),"No")</f>
        <v>No</v>
      </c>
      <c r="Z69" s="13" t="s">
        <v>1449</v>
      </c>
    </row>
    <row r="70" customFormat="false" ht="23.25" hidden="false" customHeight="true" outlineLevel="0" collapsed="false">
      <c r="A70" s="11" t="n">
        <v>49</v>
      </c>
      <c r="B70" s="11" t="s">
        <v>1445</v>
      </c>
      <c r="C70" s="11" t="s">
        <v>1446</v>
      </c>
      <c r="D70" s="11" t="s">
        <v>1450</v>
      </c>
      <c r="E70" s="11" t="s">
        <v>1451</v>
      </c>
      <c r="F70" s="11" t="s">
        <v>836</v>
      </c>
      <c r="G70" s="11" t="s">
        <v>835</v>
      </c>
      <c r="H70" s="11" t="s">
        <v>836</v>
      </c>
      <c r="I70" s="11" t="s">
        <v>1384</v>
      </c>
      <c r="J70" s="11" t="s">
        <v>1395</v>
      </c>
      <c r="K70" s="19" t="n">
        <v>0.333333333333333</v>
      </c>
      <c r="L70" s="11" t="s">
        <v>830</v>
      </c>
      <c r="M70" s="11" t="s">
        <v>828</v>
      </c>
      <c r="N70" s="12"/>
      <c r="O70" s="20" t="n">
        <v>46167</v>
      </c>
      <c r="P70" s="20"/>
      <c r="Q70" s="20"/>
      <c r="R70" s="11" t="s">
        <v>1308</v>
      </c>
      <c r="S70" s="11" t="s">
        <v>1309</v>
      </c>
      <c r="T70" s="11" t="str">
        <f aca="false">IF(P70="","No deadline",IF(Q70&lt;&gt;"",IF(Q70&gt;P70,"Late","On time"),IF(README!$B$4&gt;P70,"Overdue","Open")))</f>
        <v>No deadline</v>
      </c>
      <c r="U70" s="11"/>
      <c r="V70" s="11"/>
      <c r="W70" s="11"/>
      <c r="X70" s="11"/>
      <c r="Y70" s="11" t="str">
        <f aca="false">IF(AND(S70="Completed",P70&lt;&gt;"",Q70&lt;&gt;""),IF(AND(T70="Late",X70="Yes",W70="Yes"),"Excluded (validated delay)","Yes"),"No")</f>
        <v>No</v>
      </c>
      <c r="Z70" s="13" t="s">
        <v>1449</v>
      </c>
    </row>
    <row r="71" customFormat="false" ht="23.25" hidden="false" customHeight="true" outlineLevel="0" collapsed="false">
      <c r="A71" s="11" t="n">
        <v>49</v>
      </c>
      <c r="B71" s="11" t="s">
        <v>1445</v>
      </c>
      <c r="C71" s="11" t="s">
        <v>1446</v>
      </c>
      <c r="D71" s="11" t="s">
        <v>1450</v>
      </c>
      <c r="E71" s="11" t="s">
        <v>1451</v>
      </c>
      <c r="F71" s="11" t="s">
        <v>1438</v>
      </c>
      <c r="G71" s="11" t="s">
        <v>886</v>
      </c>
      <c r="H71" s="11" t="s">
        <v>887</v>
      </c>
      <c r="I71" s="11" t="s">
        <v>1439</v>
      </c>
      <c r="J71" s="11" t="s">
        <v>1395</v>
      </c>
      <c r="K71" s="19" t="n">
        <v>0.333333333333333</v>
      </c>
      <c r="L71" s="11" t="s">
        <v>830</v>
      </c>
      <c r="M71" s="11" t="s">
        <v>828</v>
      </c>
      <c r="N71" s="12"/>
      <c r="O71" s="20" t="n">
        <v>46167</v>
      </c>
      <c r="P71" s="20"/>
      <c r="Q71" s="20"/>
      <c r="R71" s="11" t="s">
        <v>1308</v>
      </c>
      <c r="S71" s="11" t="s">
        <v>1309</v>
      </c>
      <c r="T71" s="11" t="str">
        <f aca="false">IF(P71="","No deadline",IF(Q71&lt;&gt;"",IF(Q71&gt;P71,"Late","On time"),IF(README!$B$4&gt;P71,"Overdue","Open")))</f>
        <v>No deadline</v>
      </c>
      <c r="U71" s="11"/>
      <c r="V71" s="11"/>
      <c r="W71" s="11"/>
      <c r="X71" s="11"/>
      <c r="Y71" s="11" t="str">
        <f aca="false">IF(AND(S71="Completed",P71&lt;&gt;"",Q71&lt;&gt;""),IF(AND(T71="Late",X71="Yes",W71="Yes"),"Excluded (validated delay)","Yes"),"No")</f>
        <v>No</v>
      </c>
      <c r="Z71" s="13" t="s">
        <v>1449</v>
      </c>
    </row>
    <row r="72" customFormat="false" ht="23.25" hidden="false" customHeight="true" outlineLevel="0" collapsed="false">
      <c r="A72" s="11" t="n">
        <v>50</v>
      </c>
      <c r="B72" s="11" t="s">
        <v>1445</v>
      </c>
      <c r="C72" s="11" t="s">
        <v>1446</v>
      </c>
      <c r="D72" s="11" t="s">
        <v>1452</v>
      </c>
      <c r="E72" s="11" t="s">
        <v>1453</v>
      </c>
      <c r="F72" s="11" t="s">
        <v>833</v>
      </c>
      <c r="G72" s="11" t="s">
        <v>832</v>
      </c>
      <c r="H72" s="11" t="s">
        <v>833</v>
      </c>
      <c r="I72" s="11" t="s">
        <v>1384</v>
      </c>
      <c r="J72" s="11" t="s">
        <v>1395</v>
      </c>
      <c r="K72" s="19" t="n">
        <v>0.333333333333333</v>
      </c>
      <c r="L72" s="11" t="s">
        <v>830</v>
      </c>
      <c r="M72" s="11" t="s">
        <v>828</v>
      </c>
      <c r="N72" s="12"/>
      <c r="O72" s="20" t="n">
        <v>46167</v>
      </c>
      <c r="P72" s="20"/>
      <c r="Q72" s="20"/>
      <c r="R72" s="11" t="s">
        <v>1308</v>
      </c>
      <c r="S72" s="11" t="s">
        <v>1309</v>
      </c>
      <c r="T72" s="11" t="str">
        <f aca="false">IF(P72="","No deadline",IF(Q72&lt;&gt;"",IF(Q72&gt;P72,"Late","On time"),IF(README!$B$4&gt;P72,"Overdue","Open")))</f>
        <v>No deadline</v>
      </c>
      <c r="U72" s="11"/>
      <c r="V72" s="11"/>
      <c r="W72" s="11"/>
      <c r="X72" s="11"/>
      <c r="Y72" s="11" t="str">
        <f aca="false">IF(AND(S72="Completed",P72&lt;&gt;"",Q72&lt;&gt;""),IF(AND(T72="Late",X72="Yes",W72="Yes"),"Excluded (validated delay)","Yes"),"No")</f>
        <v>No</v>
      </c>
      <c r="Z72" s="13" t="s">
        <v>1449</v>
      </c>
    </row>
    <row r="73" customFormat="false" ht="23.25" hidden="false" customHeight="true" outlineLevel="0" collapsed="false">
      <c r="A73" s="11" t="n">
        <v>50</v>
      </c>
      <c r="B73" s="11" t="s">
        <v>1445</v>
      </c>
      <c r="C73" s="11" t="s">
        <v>1446</v>
      </c>
      <c r="D73" s="11" t="s">
        <v>1452</v>
      </c>
      <c r="E73" s="11" t="s">
        <v>1453</v>
      </c>
      <c r="F73" s="11" t="s">
        <v>836</v>
      </c>
      <c r="G73" s="11" t="s">
        <v>835</v>
      </c>
      <c r="H73" s="11" t="s">
        <v>836</v>
      </c>
      <c r="I73" s="11" t="s">
        <v>1384</v>
      </c>
      <c r="J73" s="11" t="s">
        <v>1395</v>
      </c>
      <c r="K73" s="19" t="n">
        <v>0.333333333333333</v>
      </c>
      <c r="L73" s="11" t="s">
        <v>830</v>
      </c>
      <c r="M73" s="11" t="s">
        <v>828</v>
      </c>
      <c r="N73" s="12"/>
      <c r="O73" s="20" t="n">
        <v>46167</v>
      </c>
      <c r="P73" s="20"/>
      <c r="Q73" s="20"/>
      <c r="R73" s="11" t="s">
        <v>1308</v>
      </c>
      <c r="S73" s="11" t="s">
        <v>1309</v>
      </c>
      <c r="T73" s="11" t="str">
        <f aca="false">IF(P73="","No deadline",IF(Q73&lt;&gt;"",IF(Q73&gt;P73,"Late","On time"),IF(README!$B$4&gt;P73,"Overdue","Open")))</f>
        <v>No deadline</v>
      </c>
      <c r="U73" s="11"/>
      <c r="V73" s="11"/>
      <c r="W73" s="11"/>
      <c r="X73" s="11"/>
      <c r="Y73" s="11" t="str">
        <f aca="false">IF(AND(S73="Completed",P73&lt;&gt;"",Q73&lt;&gt;""),IF(AND(T73="Late",X73="Yes",W73="Yes"),"Excluded (validated delay)","Yes"),"No")</f>
        <v>No</v>
      </c>
      <c r="Z73" s="13" t="s">
        <v>1449</v>
      </c>
    </row>
    <row r="74" customFormat="false" ht="23.25" hidden="false" customHeight="true" outlineLevel="0" collapsed="false">
      <c r="A74" s="11" t="n">
        <v>50</v>
      </c>
      <c r="B74" s="11" t="s">
        <v>1445</v>
      </c>
      <c r="C74" s="11" t="s">
        <v>1446</v>
      </c>
      <c r="D74" s="11" t="s">
        <v>1452</v>
      </c>
      <c r="E74" s="11" t="s">
        <v>1453</v>
      </c>
      <c r="F74" s="11" t="s">
        <v>1438</v>
      </c>
      <c r="G74" s="11" t="s">
        <v>886</v>
      </c>
      <c r="H74" s="11" t="s">
        <v>887</v>
      </c>
      <c r="I74" s="11" t="s">
        <v>1439</v>
      </c>
      <c r="J74" s="11" t="s">
        <v>1395</v>
      </c>
      <c r="K74" s="19" t="n">
        <v>0.333333333333333</v>
      </c>
      <c r="L74" s="11" t="s">
        <v>830</v>
      </c>
      <c r="M74" s="11" t="s">
        <v>828</v>
      </c>
      <c r="N74" s="12"/>
      <c r="O74" s="20" t="n">
        <v>46167</v>
      </c>
      <c r="P74" s="20"/>
      <c r="Q74" s="20"/>
      <c r="R74" s="11" t="s">
        <v>1308</v>
      </c>
      <c r="S74" s="11" t="s">
        <v>1309</v>
      </c>
      <c r="T74" s="11" t="str">
        <f aca="false">IF(P74="","No deadline",IF(Q74&lt;&gt;"",IF(Q74&gt;P74,"Late","On time"),IF(README!$B$4&gt;P74,"Overdue","Open")))</f>
        <v>No deadline</v>
      </c>
      <c r="U74" s="11"/>
      <c r="V74" s="11"/>
      <c r="W74" s="11"/>
      <c r="X74" s="11"/>
      <c r="Y74" s="11" t="str">
        <f aca="false">IF(AND(S74="Completed",P74&lt;&gt;"",Q74&lt;&gt;""),IF(AND(T74="Late",X74="Yes",W74="Yes"),"Excluded (validated delay)","Yes"),"No")</f>
        <v>No</v>
      </c>
      <c r="Z74" s="13" t="s">
        <v>1449</v>
      </c>
    </row>
    <row r="75" customFormat="false" ht="23.25" hidden="false" customHeight="true" outlineLevel="0" collapsed="false">
      <c r="A75" s="11" t="n">
        <v>51</v>
      </c>
      <c r="B75" s="11" t="s">
        <v>1454</v>
      </c>
      <c r="C75" s="11" t="s">
        <v>1455</v>
      </c>
      <c r="D75" s="11" t="s">
        <v>1456</v>
      </c>
      <c r="E75" s="11" t="s">
        <v>1457</v>
      </c>
      <c r="F75" s="11" t="s">
        <v>833</v>
      </c>
      <c r="G75" s="11" t="s">
        <v>832</v>
      </c>
      <c r="H75" s="11" t="s">
        <v>833</v>
      </c>
      <c r="I75" s="11" t="s">
        <v>1384</v>
      </c>
      <c r="J75" s="11" t="s">
        <v>1395</v>
      </c>
      <c r="K75" s="19" t="n">
        <v>0.333333333333333</v>
      </c>
      <c r="L75" s="11" t="s">
        <v>830</v>
      </c>
      <c r="M75" s="11" t="s">
        <v>828</v>
      </c>
      <c r="N75" s="12"/>
      <c r="O75" s="20" t="n">
        <v>46167</v>
      </c>
      <c r="P75" s="20"/>
      <c r="Q75" s="20"/>
      <c r="R75" s="11" t="s">
        <v>1308</v>
      </c>
      <c r="S75" s="11" t="s">
        <v>1309</v>
      </c>
      <c r="T75" s="11" t="str">
        <f aca="false">IF(P75="","No deadline",IF(Q75&lt;&gt;"",IF(Q75&gt;P75,"Late","On time"),IF(README!$B$4&gt;P75,"Overdue","Open")))</f>
        <v>No deadline</v>
      </c>
      <c r="U75" s="11"/>
      <c r="V75" s="11"/>
      <c r="W75" s="11"/>
      <c r="X75" s="11"/>
      <c r="Y75" s="11" t="str">
        <f aca="false">IF(AND(S75="Completed",P75&lt;&gt;"",Q75&lt;&gt;""),IF(AND(T75="Late",X75="Yes",W75="Yes"),"Excluded (validated delay)","Yes"),"No")</f>
        <v>No</v>
      </c>
      <c r="Z75" s="13" t="s">
        <v>1449</v>
      </c>
    </row>
    <row r="76" customFormat="false" ht="23.25" hidden="false" customHeight="true" outlineLevel="0" collapsed="false">
      <c r="A76" s="11" t="n">
        <v>51</v>
      </c>
      <c r="B76" s="11" t="s">
        <v>1454</v>
      </c>
      <c r="C76" s="11" t="s">
        <v>1455</v>
      </c>
      <c r="D76" s="11" t="s">
        <v>1456</v>
      </c>
      <c r="E76" s="11" t="s">
        <v>1457</v>
      </c>
      <c r="F76" s="11" t="s">
        <v>836</v>
      </c>
      <c r="G76" s="11" t="s">
        <v>835</v>
      </c>
      <c r="H76" s="11" t="s">
        <v>836</v>
      </c>
      <c r="I76" s="11" t="s">
        <v>1384</v>
      </c>
      <c r="J76" s="11" t="s">
        <v>1395</v>
      </c>
      <c r="K76" s="19" t="n">
        <v>0.333333333333333</v>
      </c>
      <c r="L76" s="11" t="s">
        <v>830</v>
      </c>
      <c r="M76" s="11" t="s">
        <v>828</v>
      </c>
      <c r="N76" s="12"/>
      <c r="O76" s="20" t="n">
        <v>46167</v>
      </c>
      <c r="P76" s="20"/>
      <c r="Q76" s="20"/>
      <c r="R76" s="11" t="s">
        <v>1308</v>
      </c>
      <c r="S76" s="11" t="s">
        <v>1309</v>
      </c>
      <c r="T76" s="11" t="str">
        <f aca="false">IF(P76="","No deadline",IF(Q76&lt;&gt;"",IF(Q76&gt;P76,"Late","On time"),IF(README!$B$4&gt;P76,"Overdue","Open")))</f>
        <v>No deadline</v>
      </c>
      <c r="U76" s="11"/>
      <c r="V76" s="11"/>
      <c r="W76" s="11"/>
      <c r="X76" s="11"/>
      <c r="Y76" s="11" t="str">
        <f aca="false">IF(AND(S76="Completed",P76&lt;&gt;"",Q76&lt;&gt;""),IF(AND(T76="Late",X76="Yes",W76="Yes"),"Excluded (validated delay)","Yes"),"No")</f>
        <v>No</v>
      </c>
      <c r="Z76" s="13" t="s">
        <v>1449</v>
      </c>
    </row>
    <row r="77" customFormat="false" ht="23.25" hidden="false" customHeight="true" outlineLevel="0" collapsed="false">
      <c r="A77" s="11" t="n">
        <v>51</v>
      </c>
      <c r="B77" s="11" t="s">
        <v>1454</v>
      </c>
      <c r="C77" s="11" t="s">
        <v>1455</v>
      </c>
      <c r="D77" s="11" t="s">
        <v>1456</v>
      </c>
      <c r="E77" s="11" t="s">
        <v>1457</v>
      </c>
      <c r="F77" s="11" t="s">
        <v>1438</v>
      </c>
      <c r="G77" s="11" t="s">
        <v>886</v>
      </c>
      <c r="H77" s="11" t="s">
        <v>887</v>
      </c>
      <c r="I77" s="11" t="s">
        <v>1439</v>
      </c>
      <c r="J77" s="11" t="s">
        <v>1395</v>
      </c>
      <c r="K77" s="19" t="n">
        <v>0.333333333333333</v>
      </c>
      <c r="L77" s="11" t="s">
        <v>830</v>
      </c>
      <c r="M77" s="11" t="s">
        <v>828</v>
      </c>
      <c r="N77" s="12"/>
      <c r="O77" s="20" t="n">
        <v>46167</v>
      </c>
      <c r="P77" s="20"/>
      <c r="Q77" s="20"/>
      <c r="R77" s="11" t="s">
        <v>1308</v>
      </c>
      <c r="S77" s="11" t="s">
        <v>1309</v>
      </c>
      <c r="T77" s="11" t="str">
        <f aca="false">IF(P77="","No deadline",IF(Q77&lt;&gt;"",IF(Q77&gt;P77,"Late","On time"),IF(README!$B$4&gt;P77,"Overdue","Open")))</f>
        <v>No deadline</v>
      </c>
      <c r="U77" s="11"/>
      <c r="V77" s="11"/>
      <c r="W77" s="11"/>
      <c r="X77" s="11"/>
      <c r="Y77" s="11" t="str">
        <f aca="false">IF(AND(S77="Completed",P77&lt;&gt;"",Q77&lt;&gt;""),IF(AND(T77="Late",X77="Yes",W77="Yes"),"Excluded (validated delay)","Yes"),"No")</f>
        <v>No</v>
      </c>
      <c r="Z77" s="13" t="s">
        <v>1449</v>
      </c>
    </row>
    <row r="78" customFormat="false" ht="23.25" hidden="false" customHeight="true" outlineLevel="0" collapsed="false">
      <c r="A78" s="11" t="n">
        <v>52</v>
      </c>
      <c r="B78" s="11" t="s">
        <v>1454</v>
      </c>
      <c r="C78" s="11" t="s">
        <v>1455</v>
      </c>
      <c r="D78" s="11" t="s">
        <v>1458</v>
      </c>
      <c r="E78" s="11" t="s">
        <v>1459</v>
      </c>
      <c r="F78" s="11" t="s">
        <v>833</v>
      </c>
      <c r="G78" s="11" t="s">
        <v>832</v>
      </c>
      <c r="H78" s="11" t="s">
        <v>833</v>
      </c>
      <c r="I78" s="11" t="s">
        <v>1384</v>
      </c>
      <c r="J78" s="11" t="s">
        <v>1395</v>
      </c>
      <c r="K78" s="19" t="n">
        <v>0.333333333333333</v>
      </c>
      <c r="L78" s="11" t="s">
        <v>830</v>
      </c>
      <c r="M78" s="11" t="s">
        <v>828</v>
      </c>
      <c r="N78" s="12"/>
      <c r="O78" s="20" t="n">
        <v>46167</v>
      </c>
      <c r="P78" s="20"/>
      <c r="Q78" s="20"/>
      <c r="R78" s="11" t="s">
        <v>1308</v>
      </c>
      <c r="S78" s="11" t="s">
        <v>1309</v>
      </c>
      <c r="T78" s="11" t="str">
        <f aca="false">IF(P78="","No deadline",IF(Q78&lt;&gt;"",IF(Q78&gt;P78,"Late","On time"),IF(README!$B$4&gt;P78,"Overdue","Open")))</f>
        <v>No deadline</v>
      </c>
      <c r="U78" s="11"/>
      <c r="V78" s="11"/>
      <c r="W78" s="11"/>
      <c r="X78" s="11"/>
      <c r="Y78" s="11" t="str">
        <f aca="false">IF(AND(S78="Completed",P78&lt;&gt;"",Q78&lt;&gt;""),IF(AND(T78="Late",X78="Yes",W78="Yes"),"Excluded (validated delay)","Yes"),"No")</f>
        <v>No</v>
      </c>
      <c r="Z78" s="13" t="s">
        <v>1449</v>
      </c>
    </row>
    <row r="79" customFormat="false" ht="23.25" hidden="false" customHeight="true" outlineLevel="0" collapsed="false">
      <c r="A79" s="11" t="n">
        <v>52</v>
      </c>
      <c r="B79" s="11" t="s">
        <v>1454</v>
      </c>
      <c r="C79" s="11" t="s">
        <v>1455</v>
      </c>
      <c r="D79" s="11" t="s">
        <v>1458</v>
      </c>
      <c r="E79" s="11" t="s">
        <v>1459</v>
      </c>
      <c r="F79" s="11" t="s">
        <v>836</v>
      </c>
      <c r="G79" s="11" t="s">
        <v>835</v>
      </c>
      <c r="H79" s="11" t="s">
        <v>836</v>
      </c>
      <c r="I79" s="11" t="s">
        <v>1384</v>
      </c>
      <c r="J79" s="11" t="s">
        <v>1395</v>
      </c>
      <c r="K79" s="19" t="n">
        <v>0.333333333333333</v>
      </c>
      <c r="L79" s="11" t="s">
        <v>830</v>
      </c>
      <c r="M79" s="11" t="s">
        <v>828</v>
      </c>
      <c r="N79" s="12"/>
      <c r="O79" s="20" t="n">
        <v>46167</v>
      </c>
      <c r="P79" s="20"/>
      <c r="Q79" s="20"/>
      <c r="R79" s="11" t="s">
        <v>1308</v>
      </c>
      <c r="S79" s="11" t="s">
        <v>1309</v>
      </c>
      <c r="T79" s="11" t="str">
        <f aca="false">IF(P79="","No deadline",IF(Q79&lt;&gt;"",IF(Q79&gt;P79,"Late","On time"),IF(README!$B$4&gt;P79,"Overdue","Open")))</f>
        <v>No deadline</v>
      </c>
      <c r="U79" s="11"/>
      <c r="V79" s="11"/>
      <c r="W79" s="11"/>
      <c r="X79" s="11"/>
      <c r="Y79" s="11" t="str">
        <f aca="false">IF(AND(S79="Completed",P79&lt;&gt;"",Q79&lt;&gt;""),IF(AND(T79="Late",X79="Yes",W79="Yes"),"Excluded (validated delay)","Yes"),"No")</f>
        <v>No</v>
      </c>
      <c r="Z79" s="13" t="s">
        <v>1449</v>
      </c>
    </row>
    <row r="80" customFormat="false" ht="23.25" hidden="false" customHeight="true" outlineLevel="0" collapsed="false">
      <c r="A80" s="11" t="n">
        <v>52</v>
      </c>
      <c r="B80" s="11" t="s">
        <v>1454</v>
      </c>
      <c r="C80" s="11" t="s">
        <v>1455</v>
      </c>
      <c r="D80" s="11" t="s">
        <v>1458</v>
      </c>
      <c r="E80" s="11" t="s">
        <v>1459</v>
      </c>
      <c r="F80" s="11" t="s">
        <v>1438</v>
      </c>
      <c r="G80" s="11" t="s">
        <v>886</v>
      </c>
      <c r="H80" s="11" t="s">
        <v>887</v>
      </c>
      <c r="I80" s="11" t="s">
        <v>1439</v>
      </c>
      <c r="J80" s="11" t="s">
        <v>1395</v>
      </c>
      <c r="K80" s="19" t="n">
        <v>0.333333333333333</v>
      </c>
      <c r="L80" s="11" t="s">
        <v>830</v>
      </c>
      <c r="M80" s="11" t="s">
        <v>828</v>
      </c>
      <c r="N80" s="12"/>
      <c r="O80" s="20" t="n">
        <v>46167</v>
      </c>
      <c r="P80" s="20"/>
      <c r="Q80" s="20"/>
      <c r="R80" s="11" t="s">
        <v>1308</v>
      </c>
      <c r="S80" s="11" t="s">
        <v>1309</v>
      </c>
      <c r="T80" s="11" t="str">
        <f aca="false">IF(P80="","No deadline",IF(Q80&lt;&gt;"",IF(Q80&gt;P80,"Late","On time"),IF(README!$B$4&gt;P80,"Overdue","Open")))</f>
        <v>No deadline</v>
      </c>
      <c r="U80" s="11"/>
      <c r="V80" s="11"/>
      <c r="W80" s="11"/>
      <c r="X80" s="11"/>
      <c r="Y80" s="11" t="str">
        <f aca="false">IF(AND(S80="Completed",P80&lt;&gt;"",Q80&lt;&gt;""),IF(AND(T80="Late",X80="Yes",W80="Yes"),"Excluded (validated delay)","Yes"),"No")</f>
        <v>No</v>
      </c>
      <c r="Z80" s="13" t="s">
        <v>1449</v>
      </c>
    </row>
    <row r="81" customFormat="false" ht="23.25" hidden="false" customHeight="true" outlineLevel="0" collapsed="false">
      <c r="A81" s="11" t="n">
        <v>53</v>
      </c>
      <c r="B81" s="11" t="s">
        <v>1460</v>
      </c>
      <c r="C81" s="11" t="s">
        <v>1461</v>
      </c>
      <c r="D81" s="11" t="s">
        <v>1462</v>
      </c>
      <c r="E81" s="11" t="s">
        <v>1463</v>
      </c>
      <c r="F81" s="11" t="s">
        <v>833</v>
      </c>
      <c r="G81" s="11" t="s">
        <v>832</v>
      </c>
      <c r="H81" s="11" t="s">
        <v>833</v>
      </c>
      <c r="I81" s="11" t="s">
        <v>1384</v>
      </c>
      <c r="J81" s="11" t="s">
        <v>1395</v>
      </c>
      <c r="K81" s="19" t="n">
        <v>0.5</v>
      </c>
      <c r="L81" s="11" t="s">
        <v>830</v>
      </c>
      <c r="M81" s="11" t="s">
        <v>828</v>
      </c>
      <c r="N81" s="12"/>
      <c r="O81" s="20" t="n">
        <v>46167</v>
      </c>
      <c r="P81" s="20"/>
      <c r="Q81" s="20"/>
      <c r="R81" s="11" t="s">
        <v>1464</v>
      </c>
      <c r="S81" s="11" t="s">
        <v>1464</v>
      </c>
      <c r="T81" s="11" t="str">
        <f aca="false">IF(P81="","No deadline",IF(Q81&lt;&gt;"",IF(Q81&gt;P81,"Late","On time"),IF(README!$B$4&gt;P81,"Overdue","Open")))</f>
        <v>No deadline</v>
      </c>
      <c r="U81" s="11"/>
      <c r="V81" s="11"/>
      <c r="W81" s="11"/>
      <c r="X81" s="11"/>
      <c r="Y81" s="11" t="str">
        <f aca="false">IF(AND(S81="Completed",P81&lt;&gt;"",Q81&lt;&gt;""),IF(AND(T81="Late",X81="Yes",W81="Yes"),"Excluded (validated delay)","Yes"),"No")</f>
        <v>No</v>
      </c>
      <c r="Z81" s="13" t="s">
        <v>1449</v>
      </c>
    </row>
    <row r="82" customFormat="false" ht="23.25" hidden="false" customHeight="true" outlineLevel="0" collapsed="false">
      <c r="A82" s="11" t="n">
        <v>53</v>
      </c>
      <c r="B82" s="11" t="s">
        <v>1460</v>
      </c>
      <c r="C82" s="11" t="s">
        <v>1461</v>
      </c>
      <c r="D82" s="11" t="s">
        <v>1462</v>
      </c>
      <c r="E82" s="11" t="s">
        <v>1463</v>
      </c>
      <c r="F82" s="11" t="s">
        <v>836</v>
      </c>
      <c r="G82" s="11" t="s">
        <v>835</v>
      </c>
      <c r="H82" s="11" t="s">
        <v>836</v>
      </c>
      <c r="I82" s="11" t="s">
        <v>1384</v>
      </c>
      <c r="J82" s="11" t="s">
        <v>1395</v>
      </c>
      <c r="K82" s="19" t="n">
        <v>0.5</v>
      </c>
      <c r="L82" s="11" t="s">
        <v>830</v>
      </c>
      <c r="M82" s="11" t="s">
        <v>828</v>
      </c>
      <c r="N82" s="12"/>
      <c r="O82" s="20" t="n">
        <v>46167</v>
      </c>
      <c r="P82" s="20"/>
      <c r="Q82" s="20"/>
      <c r="R82" s="11" t="s">
        <v>1464</v>
      </c>
      <c r="S82" s="11" t="s">
        <v>1464</v>
      </c>
      <c r="T82" s="11" t="str">
        <f aca="false">IF(P82="","No deadline",IF(Q82&lt;&gt;"",IF(Q82&gt;P82,"Late","On time"),IF(README!$B$4&gt;P82,"Overdue","Open")))</f>
        <v>No deadline</v>
      </c>
      <c r="U82" s="11"/>
      <c r="V82" s="11"/>
      <c r="W82" s="11"/>
      <c r="X82" s="11"/>
      <c r="Y82" s="11" t="str">
        <f aca="false">IF(AND(S82="Completed",P82&lt;&gt;"",Q82&lt;&gt;""),IF(AND(T82="Late",X82="Yes",W82="Yes"),"Excluded (validated delay)","Yes"),"No")</f>
        <v>No</v>
      </c>
      <c r="Z82" s="13" t="s">
        <v>1449</v>
      </c>
    </row>
    <row r="83" customFormat="false" ht="23.25" hidden="false" customHeight="true" outlineLevel="0" collapsed="false">
      <c r="A83" s="11" t="n">
        <v>54</v>
      </c>
      <c r="B83" s="11" t="s">
        <v>1460</v>
      </c>
      <c r="C83" s="11" t="s">
        <v>1461</v>
      </c>
      <c r="D83" s="11" t="s">
        <v>1465</v>
      </c>
      <c r="E83" s="11" t="s">
        <v>1466</v>
      </c>
      <c r="F83" s="11" t="s">
        <v>833</v>
      </c>
      <c r="G83" s="11" t="s">
        <v>832</v>
      </c>
      <c r="H83" s="11" t="s">
        <v>833</v>
      </c>
      <c r="I83" s="11" t="s">
        <v>1384</v>
      </c>
      <c r="J83" s="11" t="s">
        <v>1395</v>
      </c>
      <c r="K83" s="19" t="n">
        <v>0.5</v>
      </c>
      <c r="L83" s="11" t="s">
        <v>830</v>
      </c>
      <c r="M83" s="11" t="s">
        <v>828</v>
      </c>
      <c r="N83" s="12"/>
      <c r="O83" s="20" t="n">
        <v>46167</v>
      </c>
      <c r="P83" s="20"/>
      <c r="Q83" s="20"/>
      <c r="R83" s="11" t="s">
        <v>1464</v>
      </c>
      <c r="S83" s="11" t="s">
        <v>1464</v>
      </c>
      <c r="T83" s="11" t="str">
        <f aca="false">IF(P83="","No deadline",IF(Q83&lt;&gt;"",IF(Q83&gt;P83,"Late","On time"),IF(README!$B$4&gt;P83,"Overdue","Open")))</f>
        <v>No deadline</v>
      </c>
      <c r="U83" s="11"/>
      <c r="V83" s="11"/>
      <c r="W83" s="11"/>
      <c r="X83" s="11"/>
      <c r="Y83" s="11" t="str">
        <f aca="false">IF(AND(S83="Completed",P83&lt;&gt;"",Q83&lt;&gt;""),IF(AND(T83="Late",X83="Yes",W83="Yes"),"Excluded (validated delay)","Yes"),"No")</f>
        <v>No</v>
      </c>
      <c r="Z83" s="13" t="s">
        <v>1449</v>
      </c>
    </row>
    <row r="84" customFormat="false" ht="23.25" hidden="false" customHeight="true" outlineLevel="0" collapsed="false">
      <c r="A84" s="11" t="n">
        <v>54</v>
      </c>
      <c r="B84" s="11" t="s">
        <v>1460</v>
      </c>
      <c r="C84" s="11" t="s">
        <v>1461</v>
      </c>
      <c r="D84" s="11" t="s">
        <v>1465</v>
      </c>
      <c r="E84" s="11" t="s">
        <v>1466</v>
      </c>
      <c r="F84" s="11" t="s">
        <v>836</v>
      </c>
      <c r="G84" s="11" t="s">
        <v>835</v>
      </c>
      <c r="H84" s="11" t="s">
        <v>836</v>
      </c>
      <c r="I84" s="11" t="s">
        <v>1384</v>
      </c>
      <c r="J84" s="11" t="s">
        <v>1395</v>
      </c>
      <c r="K84" s="19" t="n">
        <v>0.5</v>
      </c>
      <c r="L84" s="11" t="s">
        <v>830</v>
      </c>
      <c r="M84" s="11" t="s">
        <v>828</v>
      </c>
      <c r="N84" s="12"/>
      <c r="O84" s="20" t="n">
        <v>46167</v>
      </c>
      <c r="P84" s="20"/>
      <c r="Q84" s="20"/>
      <c r="R84" s="11" t="s">
        <v>1464</v>
      </c>
      <c r="S84" s="11" t="s">
        <v>1464</v>
      </c>
      <c r="T84" s="11" t="str">
        <f aca="false">IF(P84="","No deadline",IF(Q84&lt;&gt;"",IF(Q84&gt;P84,"Late","On time"),IF(README!$B$4&gt;P84,"Overdue","Open")))</f>
        <v>No deadline</v>
      </c>
      <c r="U84" s="11"/>
      <c r="V84" s="11"/>
      <c r="W84" s="11"/>
      <c r="X84" s="11"/>
      <c r="Y84" s="11" t="str">
        <f aca="false">IF(AND(S84="Completed",P84&lt;&gt;"",Q84&lt;&gt;""),IF(AND(T84="Late",X84="Yes",W84="Yes"),"Excluded (validated delay)","Yes"),"No")</f>
        <v>No</v>
      </c>
      <c r="Z84" s="13" t="s">
        <v>1449</v>
      </c>
    </row>
    <row r="85" customFormat="false" ht="23.25" hidden="false" customHeight="true" outlineLevel="0" collapsed="false">
      <c r="A85" s="11" t="n">
        <v>55</v>
      </c>
      <c r="B85" s="11" t="s">
        <v>1460</v>
      </c>
      <c r="C85" s="11" t="s">
        <v>1461</v>
      </c>
      <c r="D85" s="11" t="s">
        <v>1467</v>
      </c>
      <c r="E85" s="11" t="s">
        <v>1468</v>
      </c>
      <c r="F85" s="11" t="s">
        <v>833</v>
      </c>
      <c r="G85" s="11" t="s">
        <v>832</v>
      </c>
      <c r="H85" s="11" t="s">
        <v>833</v>
      </c>
      <c r="I85" s="11" t="s">
        <v>1384</v>
      </c>
      <c r="J85" s="11" t="s">
        <v>1395</v>
      </c>
      <c r="K85" s="19" t="n">
        <v>0.5</v>
      </c>
      <c r="L85" s="11" t="s">
        <v>830</v>
      </c>
      <c r="M85" s="11" t="s">
        <v>828</v>
      </c>
      <c r="N85" s="12"/>
      <c r="O85" s="20" t="n">
        <v>46167</v>
      </c>
      <c r="P85" s="20"/>
      <c r="Q85" s="20"/>
      <c r="R85" s="11" t="s">
        <v>1464</v>
      </c>
      <c r="S85" s="11" t="s">
        <v>1464</v>
      </c>
      <c r="T85" s="11" t="str">
        <f aca="false">IF(P85="","No deadline",IF(Q85&lt;&gt;"",IF(Q85&gt;P85,"Late","On time"),IF(README!$B$4&gt;P85,"Overdue","Open")))</f>
        <v>No deadline</v>
      </c>
      <c r="U85" s="11"/>
      <c r="V85" s="11"/>
      <c r="W85" s="11"/>
      <c r="X85" s="11"/>
      <c r="Y85" s="11" t="str">
        <f aca="false">IF(AND(S85="Completed",P85&lt;&gt;"",Q85&lt;&gt;""),IF(AND(T85="Late",X85="Yes",W85="Yes"),"Excluded (validated delay)","Yes"),"No")</f>
        <v>No</v>
      </c>
      <c r="Z85" s="13" t="s">
        <v>1449</v>
      </c>
    </row>
    <row r="86" customFormat="false" ht="23.25" hidden="false" customHeight="true" outlineLevel="0" collapsed="false">
      <c r="A86" s="11" t="n">
        <v>55</v>
      </c>
      <c r="B86" s="11" t="s">
        <v>1460</v>
      </c>
      <c r="C86" s="11" t="s">
        <v>1461</v>
      </c>
      <c r="D86" s="11" t="s">
        <v>1467</v>
      </c>
      <c r="E86" s="11" t="s">
        <v>1468</v>
      </c>
      <c r="F86" s="11" t="s">
        <v>836</v>
      </c>
      <c r="G86" s="11" t="s">
        <v>835</v>
      </c>
      <c r="H86" s="11" t="s">
        <v>836</v>
      </c>
      <c r="I86" s="11" t="s">
        <v>1384</v>
      </c>
      <c r="J86" s="11" t="s">
        <v>1395</v>
      </c>
      <c r="K86" s="19" t="n">
        <v>0.5</v>
      </c>
      <c r="L86" s="11" t="s">
        <v>830</v>
      </c>
      <c r="M86" s="11" t="s">
        <v>828</v>
      </c>
      <c r="N86" s="12"/>
      <c r="O86" s="20" t="n">
        <v>46167</v>
      </c>
      <c r="P86" s="20"/>
      <c r="Q86" s="20"/>
      <c r="R86" s="11" t="s">
        <v>1464</v>
      </c>
      <c r="S86" s="11" t="s">
        <v>1464</v>
      </c>
      <c r="T86" s="11" t="str">
        <f aca="false">IF(P86="","No deadline",IF(Q86&lt;&gt;"",IF(Q86&gt;P86,"Late","On time"),IF(README!$B$4&gt;P86,"Overdue","Open")))</f>
        <v>No deadline</v>
      </c>
      <c r="U86" s="11"/>
      <c r="V86" s="11"/>
      <c r="W86" s="11"/>
      <c r="X86" s="11"/>
      <c r="Y86" s="11" t="str">
        <f aca="false">IF(AND(S86="Completed",P86&lt;&gt;"",Q86&lt;&gt;""),IF(AND(T86="Late",X86="Yes",W86="Yes"),"Excluded (validated delay)","Yes"),"No")</f>
        <v>No</v>
      </c>
      <c r="Z86" s="13" t="s">
        <v>1449</v>
      </c>
    </row>
    <row r="87" customFormat="false" ht="23.25" hidden="false" customHeight="true" outlineLevel="0" collapsed="false">
      <c r="A87" s="11" t="n">
        <v>56</v>
      </c>
      <c r="B87" s="11" t="s">
        <v>1469</v>
      </c>
      <c r="C87" s="11" t="s">
        <v>1470</v>
      </c>
      <c r="D87" s="11" t="s">
        <v>1471</v>
      </c>
      <c r="E87" s="11" t="s">
        <v>1472</v>
      </c>
      <c r="F87" s="11" t="s">
        <v>833</v>
      </c>
      <c r="G87" s="11" t="s">
        <v>832</v>
      </c>
      <c r="H87" s="11" t="s">
        <v>833</v>
      </c>
      <c r="I87" s="11" t="s">
        <v>1384</v>
      </c>
      <c r="J87" s="11" t="s">
        <v>1395</v>
      </c>
      <c r="K87" s="19" t="n">
        <v>0.333333333333333</v>
      </c>
      <c r="L87" s="11" t="s">
        <v>830</v>
      </c>
      <c r="M87" s="11" t="s">
        <v>828</v>
      </c>
      <c r="N87" s="12"/>
      <c r="O87" s="20" t="n">
        <v>46167</v>
      </c>
      <c r="P87" s="20"/>
      <c r="Q87" s="20"/>
      <c r="R87" s="11" t="s">
        <v>1464</v>
      </c>
      <c r="S87" s="11" t="s">
        <v>1464</v>
      </c>
      <c r="T87" s="11" t="str">
        <f aca="false">IF(P87="","No deadline",IF(Q87&lt;&gt;"",IF(Q87&gt;P87,"Late","On time"),IF(README!$B$4&gt;P87,"Overdue","Open")))</f>
        <v>No deadline</v>
      </c>
      <c r="U87" s="11"/>
      <c r="V87" s="11"/>
      <c r="W87" s="11"/>
      <c r="X87" s="11"/>
      <c r="Y87" s="11" t="str">
        <f aca="false">IF(AND(S87="Completed",P87&lt;&gt;"",Q87&lt;&gt;""),IF(AND(T87="Late",X87="Yes",W87="Yes"),"Excluded (validated delay)","Yes"),"No")</f>
        <v>No</v>
      </c>
      <c r="Z87" s="13" t="s">
        <v>1449</v>
      </c>
    </row>
    <row r="88" customFormat="false" ht="23.25" hidden="false" customHeight="true" outlineLevel="0" collapsed="false">
      <c r="A88" s="11" t="n">
        <v>56</v>
      </c>
      <c r="B88" s="11" t="s">
        <v>1469</v>
      </c>
      <c r="C88" s="11" t="s">
        <v>1470</v>
      </c>
      <c r="D88" s="11" t="s">
        <v>1471</v>
      </c>
      <c r="E88" s="11" t="s">
        <v>1472</v>
      </c>
      <c r="F88" s="11" t="s">
        <v>836</v>
      </c>
      <c r="G88" s="11" t="s">
        <v>835</v>
      </c>
      <c r="H88" s="11" t="s">
        <v>836</v>
      </c>
      <c r="I88" s="11" t="s">
        <v>1384</v>
      </c>
      <c r="J88" s="11" t="s">
        <v>1395</v>
      </c>
      <c r="K88" s="19" t="n">
        <v>0.333333333333333</v>
      </c>
      <c r="L88" s="11" t="s">
        <v>830</v>
      </c>
      <c r="M88" s="11" t="s">
        <v>828</v>
      </c>
      <c r="N88" s="12"/>
      <c r="O88" s="20" t="n">
        <v>46167</v>
      </c>
      <c r="P88" s="20"/>
      <c r="Q88" s="20"/>
      <c r="R88" s="11" t="s">
        <v>1464</v>
      </c>
      <c r="S88" s="11" t="s">
        <v>1464</v>
      </c>
      <c r="T88" s="11" t="str">
        <f aca="false">IF(P88="","No deadline",IF(Q88&lt;&gt;"",IF(Q88&gt;P88,"Late","On time"),IF(README!$B$4&gt;P88,"Overdue","Open")))</f>
        <v>No deadline</v>
      </c>
      <c r="U88" s="11"/>
      <c r="V88" s="11"/>
      <c r="W88" s="11"/>
      <c r="X88" s="11"/>
      <c r="Y88" s="11" t="str">
        <f aca="false">IF(AND(S88="Completed",P88&lt;&gt;"",Q88&lt;&gt;""),IF(AND(T88="Late",X88="Yes",W88="Yes"),"Excluded (validated delay)","Yes"),"No")</f>
        <v>No</v>
      </c>
      <c r="Z88" s="13" t="s">
        <v>1449</v>
      </c>
    </row>
    <row r="89" customFormat="false" ht="23.25" hidden="false" customHeight="true" outlineLevel="0" collapsed="false">
      <c r="A89" s="11" t="n">
        <v>56</v>
      </c>
      <c r="B89" s="11" t="s">
        <v>1469</v>
      </c>
      <c r="C89" s="11" t="s">
        <v>1470</v>
      </c>
      <c r="D89" s="11" t="s">
        <v>1471</v>
      </c>
      <c r="E89" s="11" t="s">
        <v>1472</v>
      </c>
      <c r="F89" s="11" t="s">
        <v>1473</v>
      </c>
      <c r="G89" s="11" t="s">
        <v>886</v>
      </c>
      <c r="H89" s="11" t="s">
        <v>887</v>
      </c>
      <c r="I89" s="11" t="s">
        <v>1474</v>
      </c>
      <c r="J89" s="11" t="s">
        <v>1395</v>
      </c>
      <c r="K89" s="19" t="n">
        <v>0.333333333333333</v>
      </c>
      <c r="L89" s="11" t="s">
        <v>830</v>
      </c>
      <c r="M89" s="11" t="s">
        <v>828</v>
      </c>
      <c r="N89" s="12"/>
      <c r="O89" s="20" t="n">
        <v>46167</v>
      </c>
      <c r="P89" s="20"/>
      <c r="Q89" s="20"/>
      <c r="R89" s="11" t="s">
        <v>1464</v>
      </c>
      <c r="S89" s="11" t="s">
        <v>1464</v>
      </c>
      <c r="T89" s="11" t="str">
        <f aca="false">IF(P89="","No deadline",IF(Q89&lt;&gt;"",IF(Q89&gt;P89,"Late","On time"),IF(README!$B$4&gt;P89,"Overdue","Open")))</f>
        <v>No deadline</v>
      </c>
      <c r="U89" s="11"/>
      <c r="V89" s="11"/>
      <c r="W89" s="11"/>
      <c r="X89" s="11"/>
      <c r="Y89" s="11" t="str">
        <f aca="false">IF(AND(S89="Completed",P89&lt;&gt;"",Q89&lt;&gt;""),IF(AND(T89="Late",X89="Yes",W89="Yes"),"Excluded (validated delay)","Yes"),"No")</f>
        <v>No</v>
      </c>
      <c r="Z89" s="13" t="s">
        <v>1449</v>
      </c>
    </row>
    <row r="90" customFormat="false" ht="23.25" hidden="false" customHeight="true" outlineLevel="0" collapsed="false">
      <c r="A90" s="11" t="n">
        <v>57</v>
      </c>
      <c r="B90" s="11" t="s">
        <v>1469</v>
      </c>
      <c r="C90" s="11" t="s">
        <v>1470</v>
      </c>
      <c r="D90" s="11" t="s">
        <v>1475</v>
      </c>
      <c r="E90" s="11" t="s">
        <v>1476</v>
      </c>
      <c r="F90" s="11" t="s">
        <v>833</v>
      </c>
      <c r="G90" s="11" t="s">
        <v>832</v>
      </c>
      <c r="H90" s="11" t="s">
        <v>833</v>
      </c>
      <c r="I90" s="11" t="s">
        <v>1384</v>
      </c>
      <c r="J90" s="11" t="s">
        <v>1395</v>
      </c>
      <c r="K90" s="19" t="n">
        <v>0.333333333333333</v>
      </c>
      <c r="L90" s="11" t="s">
        <v>830</v>
      </c>
      <c r="M90" s="11" t="s">
        <v>828</v>
      </c>
      <c r="N90" s="12"/>
      <c r="O90" s="20" t="n">
        <v>46167</v>
      </c>
      <c r="P90" s="20"/>
      <c r="Q90" s="20"/>
      <c r="R90" s="11" t="s">
        <v>1464</v>
      </c>
      <c r="S90" s="11" t="s">
        <v>1464</v>
      </c>
      <c r="T90" s="11" t="str">
        <f aca="false">IF(P90="","No deadline",IF(Q90&lt;&gt;"",IF(Q90&gt;P90,"Late","On time"),IF(README!$B$4&gt;P90,"Overdue","Open")))</f>
        <v>No deadline</v>
      </c>
      <c r="U90" s="11"/>
      <c r="V90" s="11"/>
      <c r="W90" s="11"/>
      <c r="X90" s="11"/>
      <c r="Y90" s="11" t="str">
        <f aca="false">IF(AND(S90="Completed",P90&lt;&gt;"",Q90&lt;&gt;""),IF(AND(T90="Late",X90="Yes",W90="Yes"),"Excluded (validated delay)","Yes"),"No")</f>
        <v>No</v>
      </c>
      <c r="Z90" s="13" t="s">
        <v>1449</v>
      </c>
    </row>
    <row r="91" customFormat="false" ht="23.25" hidden="false" customHeight="true" outlineLevel="0" collapsed="false">
      <c r="A91" s="11" t="n">
        <v>57</v>
      </c>
      <c r="B91" s="11" t="s">
        <v>1469</v>
      </c>
      <c r="C91" s="11" t="s">
        <v>1470</v>
      </c>
      <c r="D91" s="11" t="s">
        <v>1475</v>
      </c>
      <c r="E91" s="11" t="s">
        <v>1476</v>
      </c>
      <c r="F91" s="11" t="s">
        <v>836</v>
      </c>
      <c r="G91" s="11" t="s">
        <v>835</v>
      </c>
      <c r="H91" s="11" t="s">
        <v>836</v>
      </c>
      <c r="I91" s="11" t="s">
        <v>1384</v>
      </c>
      <c r="J91" s="11" t="s">
        <v>1395</v>
      </c>
      <c r="K91" s="19" t="n">
        <v>0.333333333333333</v>
      </c>
      <c r="L91" s="11" t="s">
        <v>830</v>
      </c>
      <c r="M91" s="11" t="s">
        <v>828</v>
      </c>
      <c r="N91" s="12"/>
      <c r="O91" s="20" t="n">
        <v>46167</v>
      </c>
      <c r="P91" s="20"/>
      <c r="Q91" s="20"/>
      <c r="R91" s="11" t="s">
        <v>1464</v>
      </c>
      <c r="S91" s="11" t="s">
        <v>1464</v>
      </c>
      <c r="T91" s="11" t="str">
        <f aca="false">IF(P91="","No deadline",IF(Q91&lt;&gt;"",IF(Q91&gt;P91,"Late","On time"),IF(README!$B$4&gt;P91,"Overdue","Open")))</f>
        <v>No deadline</v>
      </c>
      <c r="U91" s="11"/>
      <c r="V91" s="11"/>
      <c r="W91" s="11"/>
      <c r="X91" s="11"/>
      <c r="Y91" s="11" t="str">
        <f aca="false">IF(AND(S91="Completed",P91&lt;&gt;"",Q91&lt;&gt;""),IF(AND(T91="Late",X91="Yes",W91="Yes"),"Excluded (validated delay)","Yes"),"No")</f>
        <v>No</v>
      </c>
      <c r="Z91" s="13" t="s">
        <v>1449</v>
      </c>
    </row>
    <row r="92" customFormat="false" ht="23.25" hidden="false" customHeight="true" outlineLevel="0" collapsed="false">
      <c r="A92" s="11" t="n">
        <v>57</v>
      </c>
      <c r="B92" s="11" t="s">
        <v>1469</v>
      </c>
      <c r="C92" s="11" t="s">
        <v>1470</v>
      </c>
      <c r="D92" s="11" t="s">
        <v>1475</v>
      </c>
      <c r="E92" s="11" t="s">
        <v>1476</v>
      </c>
      <c r="F92" s="11" t="s">
        <v>1473</v>
      </c>
      <c r="G92" s="11" t="s">
        <v>886</v>
      </c>
      <c r="H92" s="11" t="s">
        <v>887</v>
      </c>
      <c r="I92" s="11" t="s">
        <v>1474</v>
      </c>
      <c r="J92" s="11" t="s">
        <v>1395</v>
      </c>
      <c r="K92" s="19" t="n">
        <v>0.333333333333333</v>
      </c>
      <c r="L92" s="11" t="s">
        <v>830</v>
      </c>
      <c r="M92" s="11" t="s">
        <v>828</v>
      </c>
      <c r="N92" s="12"/>
      <c r="O92" s="20" t="n">
        <v>46167</v>
      </c>
      <c r="P92" s="20"/>
      <c r="Q92" s="20"/>
      <c r="R92" s="11" t="s">
        <v>1464</v>
      </c>
      <c r="S92" s="11" t="s">
        <v>1464</v>
      </c>
      <c r="T92" s="11" t="str">
        <f aca="false">IF(P92="","No deadline",IF(Q92&lt;&gt;"",IF(Q92&gt;P92,"Late","On time"),IF(README!$B$4&gt;P92,"Overdue","Open")))</f>
        <v>No deadline</v>
      </c>
      <c r="U92" s="11"/>
      <c r="V92" s="11"/>
      <c r="W92" s="11"/>
      <c r="X92" s="11"/>
      <c r="Y92" s="11" t="str">
        <f aca="false">IF(AND(S92="Completed",P92&lt;&gt;"",Q92&lt;&gt;""),IF(AND(T92="Late",X92="Yes",W92="Yes"),"Excluded (validated delay)","Yes"),"No")</f>
        <v>No</v>
      </c>
      <c r="Z92" s="13" t="s">
        <v>1449</v>
      </c>
    </row>
    <row r="93" customFormat="false" ht="23.25" hidden="false" customHeight="true" outlineLevel="0" collapsed="false">
      <c r="A93" s="11" t="n">
        <v>58</v>
      </c>
      <c r="B93" s="11" t="s">
        <v>1469</v>
      </c>
      <c r="C93" s="11" t="s">
        <v>1470</v>
      </c>
      <c r="D93" s="11" t="s">
        <v>1477</v>
      </c>
      <c r="E93" s="11" t="s">
        <v>1478</v>
      </c>
      <c r="F93" s="11" t="s">
        <v>833</v>
      </c>
      <c r="G93" s="11" t="s">
        <v>832</v>
      </c>
      <c r="H93" s="11" t="s">
        <v>833</v>
      </c>
      <c r="I93" s="11" t="s">
        <v>1384</v>
      </c>
      <c r="J93" s="11" t="s">
        <v>1395</v>
      </c>
      <c r="K93" s="19" t="n">
        <v>0.333333333333333</v>
      </c>
      <c r="L93" s="11" t="s">
        <v>830</v>
      </c>
      <c r="M93" s="11" t="s">
        <v>828</v>
      </c>
      <c r="N93" s="12"/>
      <c r="O93" s="20" t="n">
        <v>46167</v>
      </c>
      <c r="P93" s="20"/>
      <c r="Q93" s="20"/>
      <c r="R93" s="11" t="s">
        <v>1464</v>
      </c>
      <c r="S93" s="11" t="s">
        <v>1464</v>
      </c>
      <c r="T93" s="11" t="str">
        <f aca="false">IF(P93="","No deadline",IF(Q93&lt;&gt;"",IF(Q93&gt;P93,"Late","On time"),IF(README!$B$4&gt;P93,"Overdue","Open")))</f>
        <v>No deadline</v>
      </c>
      <c r="U93" s="11"/>
      <c r="V93" s="11"/>
      <c r="W93" s="11"/>
      <c r="X93" s="11"/>
      <c r="Y93" s="11" t="str">
        <f aca="false">IF(AND(S93="Completed",P93&lt;&gt;"",Q93&lt;&gt;""),IF(AND(T93="Late",X93="Yes",W93="Yes"),"Excluded (validated delay)","Yes"),"No")</f>
        <v>No</v>
      </c>
      <c r="Z93" s="13" t="s">
        <v>1449</v>
      </c>
    </row>
    <row r="94" customFormat="false" ht="23.25" hidden="false" customHeight="true" outlineLevel="0" collapsed="false">
      <c r="A94" s="11" t="n">
        <v>58</v>
      </c>
      <c r="B94" s="11" t="s">
        <v>1469</v>
      </c>
      <c r="C94" s="11" t="s">
        <v>1470</v>
      </c>
      <c r="D94" s="11" t="s">
        <v>1477</v>
      </c>
      <c r="E94" s="11" t="s">
        <v>1478</v>
      </c>
      <c r="F94" s="11" t="s">
        <v>836</v>
      </c>
      <c r="G94" s="11" t="s">
        <v>835</v>
      </c>
      <c r="H94" s="11" t="s">
        <v>836</v>
      </c>
      <c r="I94" s="11" t="s">
        <v>1384</v>
      </c>
      <c r="J94" s="11" t="s">
        <v>1395</v>
      </c>
      <c r="K94" s="19" t="n">
        <v>0.333333333333333</v>
      </c>
      <c r="L94" s="11" t="s">
        <v>830</v>
      </c>
      <c r="M94" s="11" t="s">
        <v>828</v>
      </c>
      <c r="N94" s="12"/>
      <c r="O94" s="20" t="n">
        <v>46167</v>
      </c>
      <c r="P94" s="20"/>
      <c r="Q94" s="20"/>
      <c r="R94" s="11" t="s">
        <v>1464</v>
      </c>
      <c r="S94" s="11" t="s">
        <v>1464</v>
      </c>
      <c r="T94" s="11" t="str">
        <f aca="false">IF(P94="","No deadline",IF(Q94&lt;&gt;"",IF(Q94&gt;P94,"Late","On time"),IF(README!$B$4&gt;P94,"Overdue","Open")))</f>
        <v>No deadline</v>
      </c>
      <c r="U94" s="11"/>
      <c r="V94" s="11"/>
      <c r="W94" s="11"/>
      <c r="X94" s="11"/>
      <c r="Y94" s="11" t="str">
        <f aca="false">IF(AND(S94="Completed",P94&lt;&gt;"",Q94&lt;&gt;""),IF(AND(T94="Late",X94="Yes",W94="Yes"),"Excluded (validated delay)","Yes"),"No")</f>
        <v>No</v>
      </c>
      <c r="Z94" s="13" t="s">
        <v>1449</v>
      </c>
    </row>
    <row r="95" customFormat="false" ht="23.25" hidden="false" customHeight="true" outlineLevel="0" collapsed="false">
      <c r="A95" s="11" t="n">
        <v>58</v>
      </c>
      <c r="B95" s="11" t="s">
        <v>1469</v>
      </c>
      <c r="C95" s="11" t="s">
        <v>1470</v>
      </c>
      <c r="D95" s="11" t="s">
        <v>1477</v>
      </c>
      <c r="E95" s="11" t="s">
        <v>1478</v>
      </c>
      <c r="F95" s="11" t="s">
        <v>1473</v>
      </c>
      <c r="G95" s="11" t="s">
        <v>886</v>
      </c>
      <c r="H95" s="11" t="s">
        <v>887</v>
      </c>
      <c r="I95" s="11" t="s">
        <v>1474</v>
      </c>
      <c r="J95" s="11" t="s">
        <v>1395</v>
      </c>
      <c r="K95" s="19" t="n">
        <v>0.333333333333333</v>
      </c>
      <c r="L95" s="11" t="s">
        <v>830</v>
      </c>
      <c r="M95" s="11" t="s">
        <v>828</v>
      </c>
      <c r="N95" s="12"/>
      <c r="O95" s="20" t="n">
        <v>46167</v>
      </c>
      <c r="P95" s="20"/>
      <c r="Q95" s="20"/>
      <c r="R95" s="11" t="s">
        <v>1464</v>
      </c>
      <c r="S95" s="11" t="s">
        <v>1464</v>
      </c>
      <c r="T95" s="11" t="str">
        <f aca="false">IF(P95="","No deadline",IF(Q95&lt;&gt;"",IF(Q95&gt;P95,"Late","On time"),IF(README!$B$4&gt;P95,"Overdue","Open")))</f>
        <v>No deadline</v>
      </c>
      <c r="U95" s="11"/>
      <c r="V95" s="11"/>
      <c r="W95" s="11"/>
      <c r="X95" s="11"/>
      <c r="Y95" s="11" t="str">
        <f aca="false">IF(AND(S95="Completed",P95&lt;&gt;"",Q95&lt;&gt;""),IF(AND(T95="Late",X95="Yes",W95="Yes"),"Excluded (validated delay)","Yes"),"No")</f>
        <v>No</v>
      </c>
      <c r="Z95" s="13" t="s">
        <v>1449</v>
      </c>
    </row>
    <row r="96" customFormat="false" ht="23.25" hidden="false" customHeight="true" outlineLevel="0" collapsed="false">
      <c r="A96" s="11" t="n">
        <v>59</v>
      </c>
      <c r="B96" s="11" t="s">
        <v>1479</v>
      </c>
      <c r="C96" s="11" t="s">
        <v>1480</v>
      </c>
      <c r="D96" s="11" t="s">
        <v>1481</v>
      </c>
      <c r="E96" s="11" t="s">
        <v>1482</v>
      </c>
      <c r="F96" s="11" t="s">
        <v>836</v>
      </c>
      <c r="G96" s="11" t="s">
        <v>835</v>
      </c>
      <c r="H96" s="11" t="s">
        <v>836</v>
      </c>
      <c r="I96" s="11" t="s">
        <v>1384</v>
      </c>
      <c r="J96" s="11" t="s">
        <v>1395</v>
      </c>
      <c r="K96" s="19" t="n">
        <v>0.5</v>
      </c>
      <c r="L96" s="11" t="s">
        <v>830</v>
      </c>
      <c r="M96" s="11" t="s">
        <v>828</v>
      </c>
      <c r="N96" s="12"/>
      <c r="O96" s="20" t="n">
        <v>46167</v>
      </c>
      <c r="P96" s="20"/>
      <c r="Q96" s="20"/>
      <c r="R96" s="11" t="s">
        <v>1464</v>
      </c>
      <c r="S96" s="11" t="s">
        <v>1464</v>
      </c>
      <c r="T96" s="11" t="str">
        <f aca="false">IF(P96="","No deadline",IF(Q96&lt;&gt;"",IF(Q96&gt;P96,"Late","On time"),IF(README!$B$4&gt;P96,"Overdue","Open")))</f>
        <v>No deadline</v>
      </c>
      <c r="U96" s="11"/>
      <c r="V96" s="11"/>
      <c r="W96" s="11"/>
      <c r="X96" s="11"/>
      <c r="Y96" s="11" t="str">
        <f aca="false">IF(AND(S96="Completed",P96&lt;&gt;"",Q96&lt;&gt;""),IF(AND(T96="Late",X96="Yes",W96="Yes"),"Excluded (validated delay)","Yes"),"No")</f>
        <v>No</v>
      </c>
      <c r="Z96" s="13" t="s">
        <v>1449</v>
      </c>
    </row>
    <row r="97" customFormat="false" ht="23.25" hidden="false" customHeight="true" outlineLevel="0" collapsed="false">
      <c r="A97" s="11" t="n">
        <v>59</v>
      </c>
      <c r="B97" s="11" t="s">
        <v>1479</v>
      </c>
      <c r="C97" s="11" t="s">
        <v>1480</v>
      </c>
      <c r="D97" s="11" t="s">
        <v>1481</v>
      </c>
      <c r="E97" s="11" t="s">
        <v>1482</v>
      </c>
      <c r="F97" s="11" t="s">
        <v>833</v>
      </c>
      <c r="G97" s="11" t="s">
        <v>832</v>
      </c>
      <c r="H97" s="11" t="s">
        <v>833</v>
      </c>
      <c r="I97" s="11" t="s">
        <v>1384</v>
      </c>
      <c r="J97" s="11" t="s">
        <v>1395</v>
      </c>
      <c r="K97" s="19" t="n">
        <v>0.5</v>
      </c>
      <c r="L97" s="11" t="s">
        <v>830</v>
      </c>
      <c r="M97" s="11" t="s">
        <v>828</v>
      </c>
      <c r="N97" s="12"/>
      <c r="O97" s="20" t="n">
        <v>46167</v>
      </c>
      <c r="P97" s="20"/>
      <c r="Q97" s="20"/>
      <c r="R97" s="11" t="s">
        <v>1464</v>
      </c>
      <c r="S97" s="11" t="s">
        <v>1464</v>
      </c>
      <c r="T97" s="11" t="str">
        <f aca="false">IF(P97="","No deadline",IF(Q97&lt;&gt;"",IF(Q97&gt;P97,"Late","On time"),IF(README!$B$4&gt;P97,"Overdue","Open")))</f>
        <v>No deadline</v>
      </c>
      <c r="U97" s="11"/>
      <c r="V97" s="11"/>
      <c r="W97" s="11"/>
      <c r="X97" s="11"/>
      <c r="Y97" s="11" t="str">
        <f aca="false">IF(AND(S97="Completed",P97&lt;&gt;"",Q97&lt;&gt;""),IF(AND(T97="Late",X97="Yes",W97="Yes"),"Excluded (validated delay)","Yes"),"No")</f>
        <v>No</v>
      </c>
      <c r="Z97" s="13" t="s">
        <v>1449</v>
      </c>
    </row>
    <row r="98" customFormat="false" ht="23.25" hidden="false" customHeight="true" outlineLevel="0" collapsed="false">
      <c r="A98" s="11" t="n">
        <v>60</v>
      </c>
      <c r="B98" s="11" t="s">
        <v>1479</v>
      </c>
      <c r="C98" s="11" t="s">
        <v>1480</v>
      </c>
      <c r="D98" s="11" t="s">
        <v>1483</v>
      </c>
      <c r="E98" s="11" t="s">
        <v>1484</v>
      </c>
      <c r="F98" s="11" t="s">
        <v>836</v>
      </c>
      <c r="G98" s="11" t="s">
        <v>835</v>
      </c>
      <c r="H98" s="11" t="s">
        <v>836</v>
      </c>
      <c r="I98" s="11" t="s">
        <v>1384</v>
      </c>
      <c r="J98" s="11" t="s">
        <v>1395</v>
      </c>
      <c r="K98" s="19" t="n">
        <v>0.5</v>
      </c>
      <c r="L98" s="11" t="s">
        <v>830</v>
      </c>
      <c r="M98" s="11" t="s">
        <v>828</v>
      </c>
      <c r="N98" s="12"/>
      <c r="O98" s="20" t="n">
        <v>46167</v>
      </c>
      <c r="P98" s="20"/>
      <c r="Q98" s="20"/>
      <c r="R98" s="11" t="s">
        <v>1464</v>
      </c>
      <c r="S98" s="11" t="s">
        <v>1464</v>
      </c>
      <c r="T98" s="11" t="str">
        <f aca="false">IF(P98="","No deadline",IF(Q98&lt;&gt;"",IF(Q98&gt;P98,"Late","On time"),IF(README!$B$4&gt;P98,"Overdue","Open")))</f>
        <v>No deadline</v>
      </c>
      <c r="U98" s="11"/>
      <c r="V98" s="11"/>
      <c r="W98" s="11"/>
      <c r="X98" s="11"/>
      <c r="Y98" s="11" t="str">
        <f aca="false">IF(AND(S98="Completed",P98&lt;&gt;"",Q98&lt;&gt;""),IF(AND(T98="Late",X98="Yes",W98="Yes"),"Excluded (validated delay)","Yes"),"No")</f>
        <v>No</v>
      </c>
      <c r="Z98" s="13" t="s">
        <v>1449</v>
      </c>
    </row>
    <row r="99" customFormat="false" ht="23.25" hidden="false" customHeight="true" outlineLevel="0" collapsed="false">
      <c r="A99" s="11" t="n">
        <v>60</v>
      </c>
      <c r="B99" s="11" t="s">
        <v>1479</v>
      </c>
      <c r="C99" s="11" t="s">
        <v>1480</v>
      </c>
      <c r="D99" s="11" t="s">
        <v>1483</v>
      </c>
      <c r="E99" s="11" t="s">
        <v>1484</v>
      </c>
      <c r="F99" s="11" t="s">
        <v>833</v>
      </c>
      <c r="G99" s="11" t="s">
        <v>832</v>
      </c>
      <c r="H99" s="11" t="s">
        <v>833</v>
      </c>
      <c r="I99" s="11" t="s">
        <v>1384</v>
      </c>
      <c r="J99" s="11" t="s">
        <v>1395</v>
      </c>
      <c r="K99" s="19" t="n">
        <v>0.5</v>
      </c>
      <c r="L99" s="11" t="s">
        <v>830</v>
      </c>
      <c r="M99" s="11" t="s">
        <v>828</v>
      </c>
      <c r="N99" s="12"/>
      <c r="O99" s="20" t="n">
        <v>46167</v>
      </c>
      <c r="P99" s="20"/>
      <c r="Q99" s="20"/>
      <c r="R99" s="11" t="s">
        <v>1464</v>
      </c>
      <c r="S99" s="11" t="s">
        <v>1464</v>
      </c>
      <c r="T99" s="11" t="str">
        <f aca="false">IF(P99="","No deadline",IF(Q99&lt;&gt;"",IF(Q99&gt;P99,"Late","On time"),IF(README!$B$4&gt;P99,"Overdue","Open")))</f>
        <v>No deadline</v>
      </c>
      <c r="U99" s="11"/>
      <c r="V99" s="11"/>
      <c r="W99" s="11"/>
      <c r="X99" s="11"/>
      <c r="Y99" s="11" t="str">
        <f aca="false">IF(AND(S99="Completed",P99&lt;&gt;"",Q99&lt;&gt;""),IF(AND(T99="Late",X99="Yes",W99="Yes"),"Excluded (validated delay)","Yes"),"No")</f>
        <v>No</v>
      </c>
      <c r="Z99" s="13" t="s">
        <v>1449</v>
      </c>
    </row>
    <row r="100" customFormat="false" ht="23.25" hidden="false" customHeight="true" outlineLevel="0" collapsed="false">
      <c r="A100" s="11" t="n">
        <v>61</v>
      </c>
      <c r="B100" s="11" t="s">
        <v>1479</v>
      </c>
      <c r="C100" s="11" t="s">
        <v>1480</v>
      </c>
      <c r="D100" s="11" t="s">
        <v>1485</v>
      </c>
      <c r="E100" s="11" t="s">
        <v>1486</v>
      </c>
      <c r="F100" s="11" t="s">
        <v>836</v>
      </c>
      <c r="G100" s="11" t="s">
        <v>835</v>
      </c>
      <c r="H100" s="11" t="s">
        <v>836</v>
      </c>
      <c r="I100" s="11" t="s">
        <v>1384</v>
      </c>
      <c r="J100" s="11" t="s">
        <v>1395</v>
      </c>
      <c r="K100" s="19" t="n">
        <v>0.5</v>
      </c>
      <c r="L100" s="11" t="s">
        <v>830</v>
      </c>
      <c r="M100" s="11" t="s">
        <v>828</v>
      </c>
      <c r="N100" s="12"/>
      <c r="O100" s="20" t="n">
        <v>46167</v>
      </c>
      <c r="P100" s="20"/>
      <c r="Q100" s="20"/>
      <c r="R100" s="11" t="s">
        <v>1464</v>
      </c>
      <c r="S100" s="11" t="s">
        <v>1464</v>
      </c>
      <c r="T100" s="11" t="str">
        <f aca="false">IF(P100="","No deadline",IF(Q100&lt;&gt;"",IF(Q100&gt;P100,"Late","On time"),IF(README!$B$4&gt;P100,"Overdue","Open")))</f>
        <v>No deadline</v>
      </c>
      <c r="U100" s="11"/>
      <c r="V100" s="11"/>
      <c r="W100" s="11"/>
      <c r="X100" s="11"/>
      <c r="Y100" s="11" t="str">
        <f aca="false">IF(AND(S100="Completed",P100&lt;&gt;"",Q100&lt;&gt;""),IF(AND(T100="Late",X100="Yes",W100="Yes"),"Excluded (validated delay)","Yes"),"No")</f>
        <v>No</v>
      </c>
      <c r="Z100" s="13" t="s">
        <v>1449</v>
      </c>
    </row>
    <row r="101" customFormat="false" ht="23.25" hidden="false" customHeight="true" outlineLevel="0" collapsed="false">
      <c r="A101" s="11" t="n">
        <v>61</v>
      </c>
      <c r="B101" s="11" t="s">
        <v>1479</v>
      </c>
      <c r="C101" s="11" t="s">
        <v>1480</v>
      </c>
      <c r="D101" s="11" t="s">
        <v>1485</v>
      </c>
      <c r="E101" s="11" t="s">
        <v>1486</v>
      </c>
      <c r="F101" s="11" t="s">
        <v>833</v>
      </c>
      <c r="G101" s="11" t="s">
        <v>832</v>
      </c>
      <c r="H101" s="11" t="s">
        <v>833</v>
      </c>
      <c r="I101" s="11" t="s">
        <v>1384</v>
      </c>
      <c r="J101" s="11" t="s">
        <v>1395</v>
      </c>
      <c r="K101" s="19" t="n">
        <v>0.5</v>
      </c>
      <c r="L101" s="11" t="s">
        <v>830</v>
      </c>
      <c r="M101" s="11" t="s">
        <v>828</v>
      </c>
      <c r="N101" s="12"/>
      <c r="O101" s="20" t="n">
        <v>46167</v>
      </c>
      <c r="P101" s="20"/>
      <c r="Q101" s="20"/>
      <c r="R101" s="11" t="s">
        <v>1464</v>
      </c>
      <c r="S101" s="11" t="s">
        <v>1464</v>
      </c>
      <c r="T101" s="11" t="str">
        <f aca="false">IF(P101="","No deadline",IF(Q101&lt;&gt;"",IF(Q101&gt;P101,"Late","On time"),IF(README!$B$4&gt;P101,"Overdue","Open")))</f>
        <v>No deadline</v>
      </c>
      <c r="U101" s="11"/>
      <c r="V101" s="11"/>
      <c r="W101" s="11"/>
      <c r="X101" s="11"/>
      <c r="Y101" s="11" t="str">
        <f aca="false">IF(AND(S101="Completed",P101&lt;&gt;"",Q101&lt;&gt;""),IF(AND(T101="Late",X101="Yes",W101="Yes"),"Excluded (validated delay)","Yes"),"No")</f>
        <v>No</v>
      </c>
      <c r="Z101" s="13" t="s">
        <v>1449</v>
      </c>
    </row>
    <row r="102" customFormat="false" ht="23.25" hidden="false" customHeight="true" outlineLevel="0" collapsed="false">
      <c r="A102" s="11" t="n">
        <v>62</v>
      </c>
      <c r="B102" s="11" t="s">
        <v>1487</v>
      </c>
      <c r="C102" s="11" t="s">
        <v>1488</v>
      </c>
      <c r="D102" s="11" t="s">
        <v>1489</v>
      </c>
      <c r="E102" s="11" t="s">
        <v>1490</v>
      </c>
      <c r="F102" s="11" t="s">
        <v>836</v>
      </c>
      <c r="G102" s="11" t="s">
        <v>835</v>
      </c>
      <c r="H102" s="11" t="s">
        <v>836</v>
      </c>
      <c r="I102" s="11" t="s">
        <v>1384</v>
      </c>
      <c r="J102" s="11" t="s">
        <v>1250</v>
      </c>
      <c r="K102" s="19" t="n">
        <v>1</v>
      </c>
      <c r="L102" s="11" t="s">
        <v>830</v>
      </c>
      <c r="M102" s="11" t="s">
        <v>828</v>
      </c>
      <c r="N102" s="12"/>
      <c r="O102" s="20" t="n">
        <v>45614</v>
      </c>
      <c r="P102" s="20"/>
      <c r="Q102" s="20"/>
      <c r="R102" s="11" t="s">
        <v>1308</v>
      </c>
      <c r="S102" s="11" t="s">
        <v>1309</v>
      </c>
      <c r="T102" s="11" t="str">
        <f aca="false">IF(P102="","No deadline",IF(Q102&lt;&gt;"",IF(Q102&gt;P102,"Late","On time"),IF(README!$B$4&gt;P102,"Overdue","Open")))</f>
        <v>No deadline</v>
      </c>
      <c r="U102" s="11"/>
      <c r="V102" s="11"/>
      <c r="W102" s="11"/>
      <c r="X102" s="11"/>
      <c r="Y102" s="11" t="str">
        <f aca="false">IF(AND(S102="Completed",P102&lt;&gt;"",Q102&lt;&gt;""),IF(AND(T102="Late",X102="Yes",W102="Yes"),"Excluded (validated delay)","Yes"),"No")</f>
        <v>No</v>
      </c>
      <c r="Z102" s="13" t="s">
        <v>1491</v>
      </c>
    </row>
    <row r="103" customFormat="false" ht="23.25" hidden="false" customHeight="true" outlineLevel="0" collapsed="false">
      <c r="A103" s="11" t="n">
        <v>63</v>
      </c>
      <c r="B103" s="11" t="s">
        <v>1487</v>
      </c>
      <c r="C103" s="11" t="s">
        <v>1488</v>
      </c>
      <c r="D103" s="11" t="s">
        <v>1492</v>
      </c>
      <c r="E103" s="11" t="s">
        <v>1493</v>
      </c>
      <c r="F103" s="11" t="s">
        <v>836</v>
      </c>
      <c r="G103" s="11" t="s">
        <v>835</v>
      </c>
      <c r="H103" s="11" t="s">
        <v>836</v>
      </c>
      <c r="I103" s="11" t="s">
        <v>1384</v>
      </c>
      <c r="J103" s="11" t="s">
        <v>1250</v>
      </c>
      <c r="K103" s="19" t="n">
        <v>1</v>
      </c>
      <c r="L103" s="11" t="s">
        <v>830</v>
      </c>
      <c r="M103" s="11" t="s">
        <v>828</v>
      </c>
      <c r="N103" s="12"/>
      <c r="O103" s="20" t="n">
        <v>45614</v>
      </c>
      <c r="P103" s="20"/>
      <c r="Q103" s="20"/>
      <c r="R103" s="11" t="s">
        <v>1308</v>
      </c>
      <c r="S103" s="11" t="s">
        <v>1309</v>
      </c>
      <c r="T103" s="11" t="str">
        <f aca="false">IF(P103="","No deadline",IF(Q103&lt;&gt;"",IF(Q103&gt;P103,"Late","On time"),IF(README!$B$4&gt;P103,"Overdue","Open")))</f>
        <v>No deadline</v>
      </c>
      <c r="U103" s="11"/>
      <c r="V103" s="11"/>
      <c r="W103" s="11"/>
      <c r="X103" s="11"/>
      <c r="Y103" s="11" t="str">
        <f aca="false">IF(AND(S103="Completed",P103&lt;&gt;"",Q103&lt;&gt;""),IF(AND(T103="Late",X103="Yes",W103="Yes"),"Excluded (validated delay)","Yes"),"No")</f>
        <v>No</v>
      </c>
      <c r="Z103" s="13" t="s">
        <v>1491</v>
      </c>
    </row>
    <row r="104" customFormat="false" ht="23.25" hidden="false" customHeight="true" outlineLevel="0" collapsed="false">
      <c r="A104" s="11" t="n">
        <v>64</v>
      </c>
      <c r="B104" s="11" t="s">
        <v>1487</v>
      </c>
      <c r="C104" s="11" t="s">
        <v>1488</v>
      </c>
      <c r="D104" s="11" t="s">
        <v>1494</v>
      </c>
      <c r="E104" s="11" t="s">
        <v>1495</v>
      </c>
      <c r="F104" s="11" t="s">
        <v>836</v>
      </c>
      <c r="G104" s="11" t="s">
        <v>835</v>
      </c>
      <c r="H104" s="11" t="s">
        <v>836</v>
      </c>
      <c r="I104" s="11" t="s">
        <v>1384</v>
      </c>
      <c r="J104" s="11" t="s">
        <v>1250</v>
      </c>
      <c r="K104" s="19" t="n">
        <v>1</v>
      </c>
      <c r="L104" s="11" t="s">
        <v>830</v>
      </c>
      <c r="M104" s="11" t="s">
        <v>828</v>
      </c>
      <c r="N104" s="12"/>
      <c r="O104" s="20" t="n">
        <v>45614</v>
      </c>
      <c r="P104" s="20"/>
      <c r="Q104" s="20"/>
      <c r="R104" s="11" t="s">
        <v>1308</v>
      </c>
      <c r="S104" s="11" t="s">
        <v>1309</v>
      </c>
      <c r="T104" s="11" t="str">
        <f aca="false">IF(P104="","No deadline",IF(Q104&lt;&gt;"",IF(Q104&gt;P104,"Late","On time"),IF(README!$B$4&gt;P104,"Overdue","Open")))</f>
        <v>No deadline</v>
      </c>
      <c r="U104" s="11"/>
      <c r="V104" s="11"/>
      <c r="W104" s="11"/>
      <c r="X104" s="11"/>
      <c r="Y104" s="11" t="str">
        <f aca="false">IF(AND(S104="Completed",P104&lt;&gt;"",Q104&lt;&gt;""),IF(AND(T104="Late",X104="Yes",W104="Yes"),"Excluded (validated delay)","Yes"),"No")</f>
        <v>No</v>
      </c>
      <c r="Z104" s="13" t="s">
        <v>1491</v>
      </c>
    </row>
    <row r="105" customFormat="false" ht="34.5" hidden="false" customHeight="true" outlineLevel="0" collapsed="false">
      <c r="A105" s="11" t="n">
        <v>65</v>
      </c>
      <c r="B105" s="11" t="s">
        <v>1496</v>
      </c>
      <c r="C105" s="11" t="s">
        <v>1497</v>
      </c>
      <c r="D105" s="11" t="s">
        <v>1498</v>
      </c>
      <c r="E105" s="11" t="s">
        <v>1490</v>
      </c>
      <c r="F105" s="11" t="s">
        <v>894</v>
      </c>
      <c r="G105" s="11" t="s">
        <v>893</v>
      </c>
      <c r="H105" s="11" t="s">
        <v>894</v>
      </c>
      <c r="I105" s="11" t="s">
        <v>1384</v>
      </c>
      <c r="J105" s="11" t="s">
        <v>1395</v>
      </c>
      <c r="K105" s="19" t="n">
        <v>0.5</v>
      </c>
      <c r="L105" s="11" t="s">
        <v>830</v>
      </c>
      <c r="M105" s="11" t="s">
        <v>828</v>
      </c>
      <c r="N105" s="12"/>
      <c r="O105" s="20" t="n">
        <v>45827</v>
      </c>
      <c r="P105" s="20"/>
      <c r="Q105" s="20"/>
      <c r="R105" s="11" t="s">
        <v>1308</v>
      </c>
      <c r="S105" s="11" t="s">
        <v>1309</v>
      </c>
      <c r="T105" s="11" t="str">
        <f aca="false">IF(P105="","No deadline",IF(Q105&lt;&gt;"",IF(Q105&gt;P105,"Late","On time"),IF(README!$B$4&gt;P105,"Overdue","Open")))</f>
        <v>No deadline</v>
      </c>
      <c r="U105" s="11"/>
      <c r="V105" s="11"/>
      <c r="W105" s="11"/>
      <c r="X105" s="11"/>
      <c r="Y105" s="11" t="str">
        <f aca="false">IF(AND(S105="Completed",P105&lt;&gt;"",Q105&lt;&gt;""),IF(AND(T105="Late",X105="Yes",W105="Yes"),"Excluded (validated delay)","Yes"),"No")</f>
        <v>No</v>
      </c>
      <c r="Z105" s="13" t="s">
        <v>1442</v>
      </c>
    </row>
    <row r="106" customFormat="false" ht="34.5" hidden="false" customHeight="true" outlineLevel="0" collapsed="false">
      <c r="A106" s="11" t="n">
        <v>65</v>
      </c>
      <c r="B106" s="11" t="s">
        <v>1496</v>
      </c>
      <c r="C106" s="11" t="s">
        <v>1497</v>
      </c>
      <c r="D106" s="11" t="s">
        <v>1498</v>
      </c>
      <c r="E106" s="11" t="s">
        <v>1490</v>
      </c>
      <c r="F106" s="11" t="s">
        <v>1473</v>
      </c>
      <c r="G106" s="11" t="s">
        <v>886</v>
      </c>
      <c r="H106" s="11" t="s">
        <v>887</v>
      </c>
      <c r="I106" s="11" t="s">
        <v>1474</v>
      </c>
      <c r="J106" s="11" t="s">
        <v>1395</v>
      </c>
      <c r="K106" s="19" t="n">
        <v>0.5</v>
      </c>
      <c r="L106" s="11" t="s">
        <v>830</v>
      </c>
      <c r="M106" s="11" t="s">
        <v>828</v>
      </c>
      <c r="N106" s="12"/>
      <c r="O106" s="20" t="n">
        <v>45827</v>
      </c>
      <c r="P106" s="20"/>
      <c r="Q106" s="20"/>
      <c r="R106" s="11" t="s">
        <v>1308</v>
      </c>
      <c r="S106" s="11" t="s">
        <v>1309</v>
      </c>
      <c r="T106" s="11" t="str">
        <f aca="false">IF(P106="","No deadline",IF(Q106&lt;&gt;"",IF(Q106&gt;P106,"Late","On time"),IF(README!$B$4&gt;P106,"Overdue","Open")))</f>
        <v>No deadline</v>
      </c>
      <c r="U106" s="11"/>
      <c r="V106" s="11"/>
      <c r="W106" s="11"/>
      <c r="X106" s="11"/>
      <c r="Y106" s="11" t="str">
        <f aca="false">IF(AND(S106="Completed",P106&lt;&gt;"",Q106&lt;&gt;""),IF(AND(T106="Late",X106="Yes",W106="Yes"),"Excluded (validated delay)","Yes"),"No")</f>
        <v>No</v>
      </c>
      <c r="Z106" s="13" t="s">
        <v>1442</v>
      </c>
    </row>
    <row r="107" customFormat="false" ht="34.5" hidden="false" customHeight="true" outlineLevel="0" collapsed="false">
      <c r="A107" s="11" t="n">
        <v>66</v>
      </c>
      <c r="B107" s="11" t="s">
        <v>1496</v>
      </c>
      <c r="C107" s="11" t="s">
        <v>1497</v>
      </c>
      <c r="D107" s="11" t="s">
        <v>1499</v>
      </c>
      <c r="E107" s="11" t="s">
        <v>1493</v>
      </c>
      <c r="F107" s="11" t="s">
        <v>894</v>
      </c>
      <c r="G107" s="11" t="s">
        <v>893</v>
      </c>
      <c r="H107" s="11" t="s">
        <v>894</v>
      </c>
      <c r="I107" s="11" t="s">
        <v>1384</v>
      </c>
      <c r="J107" s="11" t="s">
        <v>1395</v>
      </c>
      <c r="K107" s="19" t="n">
        <v>0.5</v>
      </c>
      <c r="L107" s="11" t="s">
        <v>830</v>
      </c>
      <c r="M107" s="11" t="s">
        <v>828</v>
      </c>
      <c r="N107" s="12"/>
      <c r="O107" s="20" t="n">
        <v>45827</v>
      </c>
      <c r="P107" s="20"/>
      <c r="Q107" s="20"/>
      <c r="R107" s="11" t="s">
        <v>1308</v>
      </c>
      <c r="S107" s="11" t="s">
        <v>1309</v>
      </c>
      <c r="T107" s="11" t="str">
        <f aca="false">IF(P107="","No deadline",IF(Q107&lt;&gt;"",IF(Q107&gt;P107,"Late","On time"),IF(README!$B$4&gt;P107,"Overdue","Open")))</f>
        <v>No deadline</v>
      </c>
      <c r="U107" s="11"/>
      <c r="V107" s="11"/>
      <c r="W107" s="11"/>
      <c r="X107" s="11"/>
      <c r="Y107" s="11" t="str">
        <f aca="false">IF(AND(S107="Completed",P107&lt;&gt;"",Q107&lt;&gt;""),IF(AND(T107="Late",X107="Yes",W107="Yes"),"Excluded (validated delay)","Yes"),"No")</f>
        <v>No</v>
      </c>
      <c r="Z107" s="13" t="s">
        <v>1442</v>
      </c>
    </row>
    <row r="108" customFormat="false" ht="34.5" hidden="false" customHeight="true" outlineLevel="0" collapsed="false">
      <c r="A108" s="11" t="n">
        <v>66</v>
      </c>
      <c r="B108" s="11" t="s">
        <v>1496</v>
      </c>
      <c r="C108" s="11" t="s">
        <v>1497</v>
      </c>
      <c r="D108" s="11" t="s">
        <v>1499</v>
      </c>
      <c r="E108" s="11" t="s">
        <v>1493</v>
      </c>
      <c r="F108" s="11" t="s">
        <v>1473</v>
      </c>
      <c r="G108" s="11" t="s">
        <v>886</v>
      </c>
      <c r="H108" s="11" t="s">
        <v>887</v>
      </c>
      <c r="I108" s="11" t="s">
        <v>1474</v>
      </c>
      <c r="J108" s="11" t="s">
        <v>1395</v>
      </c>
      <c r="K108" s="19" t="n">
        <v>0.5</v>
      </c>
      <c r="L108" s="11" t="s">
        <v>830</v>
      </c>
      <c r="M108" s="11" t="s">
        <v>828</v>
      </c>
      <c r="N108" s="12"/>
      <c r="O108" s="20" t="n">
        <v>45827</v>
      </c>
      <c r="P108" s="20"/>
      <c r="Q108" s="20"/>
      <c r="R108" s="11" t="s">
        <v>1308</v>
      </c>
      <c r="S108" s="11" t="s">
        <v>1309</v>
      </c>
      <c r="T108" s="11" t="str">
        <f aca="false">IF(P108="","No deadline",IF(Q108&lt;&gt;"",IF(Q108&gt;P108,"Late","On time"),IF(README!$B$4&gt;P108,"Overdue","Open")))</f>
        <v>No deadline</v>
      </c>
      <c r="U108" s="11"/>
      <c r="V108" s="11"/>
      <c r="W108" s="11"/>
      <c r="X108" s="11"/>
      <c r="Y108" s="11" t="str">
        <f aca="false">IF(AND(S108="Completed",P108&lt;&gt;"",Q108&lt;&gt;""),IF(AND(T108="Late",X108="Yes",W108="Yes"),"Excluded (validated delay)","Yes"),"No")</f>
        <v>No</v>
      </c>
      <c r="Z108" s="13" t="s">
        <v>1442</v>
      </c>
    </row>
    <row r="109" customFormat="false" ht="34.5" hidden="false" customHeight="true" outlineLevel="0" collapsed="false">
      <c r="A109" s="11" t="n">
        <v>67</v>
      </c>
      <c r="B109" s="11" t="s">
        <v>1496</v>
      </c>
      <c r="C109" s="11" t="s">
        <v>1497</v>
      </c>
      <c r="D109" s="11" t="s">
        <v>1500</v>
      </c>
      <c r="E109" s="11" t="s">
        <v>1495</v>
      </c>
      <c r="F109" s="11" t="s">
        <v>894</v>
      </c>
      <c r="G109" s="11" t="s">
        <v>893</v>
      </c>
      <c r="H109" s="11" t="s">
        <v>894</v>
      </c>
      <c r="I109" s="11" t="s">
        <v>1384</v>
      </c>
      <c r="J109" s="11" t="s">
        <v>1395</v>
      </c>
      <c r="K109" s="19" t="n">
        <v>0.5</v>
      </c>
      <c r="L109" s="11" t="s">
        <v>830</v>
      </c>
      <c r="M109" s="11" t="s">
        <v>828</v>
      </c>
      <c r="N109" s="12"/>
      <c r="O109" s="20" t="n">
        <v>45827</v>
      </c>
      <c r="P109" s="20"/>
      <c r="Q109" s="20"/>
      <c r="R109" s="11" t="s">
        <v>1308</v>
      </c>
      <c r="S109" s="11" t="s">
        <v>1309</v>
      </c>
      <c r="T109" s="11" t="str">
        <f aca="false">IF(P109="","No deadline",IF(Q109&lt;&gt;"",IF(Q109&gt;P109,"Late","On time"),IF(README!$B$4&gt;P109,"Overdue","Open")))</f>
        <v>No deadline</v>
      </c>
      <c r="U109" s="11"/>
      <c r="V109" s="11"/>
      <c r="W109" s="11"/>
      <c r="X109" s="11"/>
      <c r="Y109" s="11" t="str">
        <f aca="false">IF(AND(S109="Completed",P109&lt;&gt;"",Q109&lt;&gt;""),IF(AND(T109="Late",X109="Yes",W109="Yes"),"Excluded (validated delay)","Yes"),"No")</f>
        <v>No</v>
      </c>
      <c r="Z109" s="13" t="s">
        <v>1442</v>
      </c>
    </row>
    <row r="110" customFormat="false" ht="34.5" hidden="false" customHeight="true" outlineLevel="0" collapsed="false">
      <c r="A110" s="11" t="n">
        <v>67</v>
      </c>
      <c r="B110" s="11" t="s">
        <v>1496</v>
      </c>
      <c r="C110" s="11" t="s">
        <v>1497</v>
      </c>
      <c r="D110" s="11" t="s">
        <v>1500</v>
      </c>
      <c r="E110" s="11" t="s">
        <v>1495</v>
      </c>
      <c r="F110" s="11" t="s">
        <v>1473</v>
      </c>
      <c r="G110" s="11" t="s">
        <v>886</v>
      </c>
      <c r="H110" s="11" t="s">
        <v>887</v>
      </c>
      <c r="I110" s="11" t="s">
        <v>1474</v>
      </c>
      <c r="J110" s="11" t="s">
        <v>1395</v>
      </c>
      <c r="K110" s="19" t="n">
        <v>0.5</v>
      </c>
      <c r="L110" s="11" t="s">
        <v>830</v>
      </c>
      <c r="M110" s="11" t="s">
        <v>828</v>
      </c>
      <c r="N110" s="12"/>
      <c r="O110" s="20" t="n">
        <v>45827</v>
      </c>
      <c r="P110" s="20"/>
      <c r="Q110" s="20"/>
      <c r="R110" s="11" t="s">
        <v>1308</v>
      </c>
      <c r="S110" s="11" t="s">
        <v>1309</v>
      </c>
      <c r="T110" s="11" t="str">
        <f aca="false">IF(P110="","No deadline",IF(Q110&lt;&gt;"",IF(Q110&gt;P110,"Late","On time"),IF(README!$B$4&gt;P110,"Overdue","Open")))</f>
        <v>No deadline</v>
      </c>
      <c r="U110" s="11"/>
      <c r="V110" s="11"/>
      <c r="W110" s="11"/>
      <c r="X110" s="11"/>
      <c r="Y110" s="11" t="str">
        <f aca="false">IF(AND(S110="Completed",P110&lt;&gt;"",Q110&lt;&gt;""),IF(AND(T110="Late",X110="Yes",W110="Yes"),"Excluded (validated delay)","Yes"),"No")</f>
        <v>No</v>
      </c>
      <c r="Z110" s="13" t="s">
        <v>1442</v>
      </c>
    </row>
    <row r="111" customFormat="false" ht="23.25" hidden="false" customHeight="true" outlineLevel="0" collapsed="false">
      <c r="A111" s="11" t="n">
        <v>68</v>
      </c>
      <c r="B111" s="11" t="s">
        <v>1501</v>
      </c>
      <c r="C111" s="11" t="s">
        <v>1502</v>
      </c>
      <c r="D111" s="11" t="s">
        <v>1503</v>
      </c>
      <c r="E111" s="11" t="s">
        <v>1490</v>
      </c>
      <c r="F111" s="11" t="s">
        <v>836</v>
      </c>
      <c r="G111" s="11" t="s">
        <v>835</v>
      </c>
      <c r="H111" s="11" t="s">
        <v>836</v>
      </c>
      <c r="I111" s="11" t="s">
        <v>1384</v>
      </c>
      <c r="J111" s="11" t="s">
        <v>1250</v>
      </c>
      <c r="K111" s="19" t="n">
        <v>1</v>
      </c>
      <c r="L111" s="11" t="s">
        <v>830</v>
      </c>
      <c r="M111" s="11" t="s">
        <v>828</v>
      </c>
      <c r="N111" s="12"/>
      <c r="O111" s="20" t="n">
        <v>45874</v>
      </c>
      <c r="P111" s="20"/>
      <c r="Q111" s="20"/>
      <c r="R111" s="11" t="s">
        <v>1308</v>
      </c>
      <c r="S111" s="11" t="s">
        <v>1309</v>
      </c>
      <c r="T111" s="11" t="str">
        <f aca="false">IF(P111="","No deadline",IF(Q111&lt;&gt;"",IF(Q111&gt;P111,"Late","On time"),IF(README!$B$4&gt;P111,"Overdue","Open")))</f>
        <v>No deadline</v>
      </c>
      <c r="U111" s="11"/>
      <c r="V111" s="11"/>
      <c r="W111" s="11"/>
      <c r="X111" s="11"/>
      <c r="Y111" s="11" t="str">
        <f aca="false">IF(AND(S111="Completed",P111&lt;&gt;"",Q111&lt;&gt;""),IF(AND(T111="Late",X111="Yes",W111="Yes"),"Excluded (validated delay)","Yes"),"No")</f>
        <v>No</v>
      </c>
      <c r="Z111" s="13" t="s">
        <v>1491</v>
      </c>
    </row>
    <row r="112" customFormat="false" ht="23.25" hidden="false" customHeight="true" outlineLevel="0" collapsed="false">
      <c r="A112" s="11" t="n">
        <v>69</v>
      </c>
      <c r="B112" s="11" t="s">
        <v>1501</v>
      </c>
      <c r="C112" s="11" t="s">
        <v>1502</v>
      </c>
      <c r="D112" s="11" t="s">
        <v>1504</v>
      </c>
      <c r="E112" s="11" t="s">
        <v>1493</v>
      </c>
      <c r="F112" s="11" t="s">
        <v>836</v>
      </c>
      <c r="G112" s="11" t="s">
        <v>835</v>
      </c>
      <c r="H112" s="11" t="s">
        <v>836</v>
      </c>
      <c r="I112" s="11" t="s">
        <v>1384</v>
      </c>
      <c r="J112" s="11" t="s">
        <v>1250</v>
      </c>
      <c r="K112" s="19" t="n">
        <v>1</v>
      </c>
      <c r="L112" s="11" t="s">
        <v>830</v>
      </c>
      <c r="M112" s="11" t="s">
        <v>828</v>
      </c>
      <c r="N112" s="12"/>
      <c r="O112" s="20" t="n">
        <v>45874</v>
      </c>
      <c r="P112" s="20"/>
      <c r="Q112" s="20"/>
      <c r="R112" s="11" t="s">
        <v>1308</v>
      </c>
      <c r="S112" s="11" t="s">
        <v>1309</v>
      </c>
      <c r="T112" s="11" t="str">
        <f aca="false">IF(P112="","No deadline",IF(Q112&lt;&gt;"",IF(Q112&gt;P112,"Late","On time"),IF(README!$B$4&gt;P112,"Overdue","Open")))</f>
        <v>No deadline</v>
      </c>
      <c r="U112" s="11"/>
      <c r="V112" s="11"/>
      <c r="W112" s="11"/>
      <c r="X112" s="11"/>
      <c r="Y112" s="11" t="str">
        <f aca="false">IF(AND(S112="Completed",P112&lt;&gt;"",Q112&lt;&gt;""),IF(AND(T112="Late",X112="Yes",W112="Yes"),"Excluded (validated delay)","Yes"),"No")</f>
        <v>No</v>
      </c>
      <c r="Z112" s="13" t="s">
        <v>1491</v>
      </c>
    </row>
    <row r="113" customFormat="false" ht="23.25" hidden="false" customHeight="true" outlineLevel="0" collapsed="false">
      <c r="A113" s="11" t="n">
        <v>70</v>
      </c>
      <c r="B113" s="11" t="s">
        <v>1501</v>
      </c>
      <c r="C113" s="11" t="s">
        <v>1502</v>
      </c>
      <c r="D113" s="11" t="s">
        <v>1505</v>
      </c>
      <c r="E113" s="11" t="s">
        <v>1495</v>
      </c>
      <c r="F113" s="11" t="s">
        <v>836</v>
      </c>
      <c r="G113" s="11" t="s">
        <v>835</v>
      </c>
      <c r="H113" s="11" t="s">
        <v>836</v>
      </c>
      <c r="I113" s="11" t="s">
        <v>1384</v>
      </c>
      <c r="J113" s="11" t="s">
        <v>1250</v>
      </c>
      <c r="K113" s="19" t="n">
        <v>1</v>
      </c>
      <c r="L113" s="11" t="s">
        <v>830</v>
      </c>
      <c r="M113" s="11" t="s">
        <v>828</v>
      </c>
      <c r="N113" s="12"/>
      <c r="O113" s="20" t="n">
        <v>45874</v>
      </c>
      <c r="P113" s="20"/>
      <c r="Q113" s="20"/>
      <c r="R113" s="11" t="s">
        <v>1308</v>
      </c>
      <c r="S113" s="11" t="s">
        <v>1309</v>
      </c>
      <c r="T113" s="11" t="str">
        <f aca="false">IF(P113="","No deadline",IF(Q113&lt;&gt;"",IF(Q113&gt;P113,"Late","On time"),IF(README!$B$4&gt;P113,"Overdue","Open")))</f>
        <v>No deadline</v>
      </c>
      <c r="U113" s="11"/>
      <c r="V113" s="11"/>
      <c r="W113" s="11"/>
      <c r="X113" s="11"/>
      <c r="Y113" s="11" t="str">
        <f aca="false">IF(AND(S113="Completed",P113&lt;&gt;"",Q113&lt;&gt;""),IF(AND(T113="Late",X113="Yes",W113="Yes"),"Excluded (validated delay)","Yes"),"No")</f>
        <v>No</v>
      </c>
      <c r="Z113" s="13" t="s">
        <v>1491</v>
      </c>
    </row>
    <row r="114" customFormat="false" ht="45.75" hidden="false" customHeight="true" outlineLevel="0" collapsed="false">
      <c r="A114" s="11" t="n">
        <v>71</v>
      </c>
      <c r="B114" s="11" t="s">
        <v>1506</v>
      </c>
      <c r="C114" s="11" t="s">
        <v>1507</v>
      </c>
      <c r="D114" s="11" t="s">
        <v>1508</v>
      </c>
      <c r="E114" s="11" t="s">
        <v>1490</v>
      </c>
      <c r="F114" s="11" t="s">
        <v>836</v>
      </c>
      <c r="G114" s="11" t="s">
        <v>835</v>
      </c>
      <c r="H114" s="11" t="s">
        <v>836</v>
      </c>
      <c r="I114" s="11" t="s">
        <v>1384</v>
      </c>
      <c r="J114" s="11" t="s">
        <v>1395</v>
      </c>
      <c r="K114" s="19" t="n">
        <v>0.5</v>
      </c>
      <c r="L114" s="11" t="s">
        <v>830</v>
      </c>
      <c r="M114" s="11" t="s">
        <v>828</v>
      </c>
      <c r="N114" s="12"/>
      <c r="O114" s="20" t="n">
        <v>46072</v>
      </c>
      <c r="P114" s="20"/>
      <c r="Q114" s="20"/>
      <c r="R114" s="11" t="s">
        <v>1345</v>
      </c>
      <c r="S114" s="11" t="s">
        <v>1346</v>
      </c>
      <c r="T114" s="11" t="str">
        <f aca="false">IF(P114="","No deadline",IF(Q114&lt;&gt;"",IF(Q114&gt;P114,"Late","On time"),IF(README!$B$4&gt;P114,"Overdue","Open")))</f>
        <v>No deadline</v>
      </c>
      <c r="U114" s="11" t="s">
        <v>1347</v>
      </c>
      <c r="V114" s="11" t="s">
        <v>1509</v>
      </c>
      <c r="W114" s="11"/>
      <c r="X114" s="11" t="s">
        <v>1265</v>
      </c>
      <c r="Y114" s="11" t="str">
        <f aca="false">IF(AND(S114="Completed",P114&lt;&gt;"",Q114&lt;&gt;""),IF(AND(T114="Late",X114="Yes",W114="Yes"),"Excluded (validated delay)","Yes"),"No")</f>
        <v>No</v>
      </c>
      <c r="Z114" s="13" t="s">
        <v>1510</v>
      </c>
    </row>
    <row r="115" customFormat="false" ht="45.75" hidden="false" customHeight="true" outlineLevel="0" collapsed="false">
      <c r="A115" s="11" t="n">
        <v>71</v>
      </c>
      <c r="B115" s="11" t="s">
        <v>1506</v>
      </c>
      <c r="C115" s="11" t="s">
        <v>1507</v>
      </c>
      <c r="D115" s="11" t="s">
        <v>1508</v>
      </c>
      <c r="E115" s="11" t="s">
        <v>1490</v>
      </c>
      <c r="F115" s="11" t="s">
        <v>1511</v>
      </c>
      <c r="G115" s="11" t="s">
        <v>847</v>
      </c>
      <c r="H115" s="11" t="s">
        <v>848</v>
      </c>
      <c r="I115" s="11" t="s">
        <v>1474</v>
      </c>
      <c r="J115" s="11" t="s">
        <v>1395</v>
      </c>
      <c r="K115" s="19" t="n">
        <v>0.5</v>
      </c>
      <c r="L115" s="11" t="s">
        <v>830</v>
      </c>
      <c r="M115" s="11" t="s">
        <v>828</v>
      </c>
      <c r="N115" s="12"/>
      <c r="O115" s="20" t="n">
        <v>46072</v>
      </c>
      <c r="P115" s="20"/>
      <c r="Q115" s="20"/>
      <c r="R115" s="11" t="s">
        <v>1345</v>
      </c>
      <c r="S115" s="11" t="s">
        <v>1346</v>
      </c>
      <c r="T115" s="11" t="str">
        <f aca="false">IF(P115="","No deadline",IF(Q115&lt;&gt;"",IF(Q115&gt;P115,"Late","On time"),IF(README!$B$4&gt;P115,"Overdue","Open")))</f>
        <v>No deadline</v>
      </c>
      <c r="U115" s="11" t="s">
        <v>1347</v>
      </c>
      <c r="V115" s="11" t="s">
        <v>1509</v>
      </c>
      <c r="W115" s="11"/>
      <c r="X115" s="11" t="s">
        <v>1265</v>
      </c>
      <c r="Y115" s="11" t="str">
        <f aca="false">IF(AND(S115="Completed",P115&lt;&gt;"",Q115&lt;&gt;""),IF(AND(T115="Late",X115="Yes",W115="Yes"),"Excluded (validated delay)","Yes"),"No")</f>
        <v>No</v>
      </c>
      <c r="Z115" s="13" t="s">
        <v>1510</v>
      </c>
    </row>
    <row r="116" customFormat="false" ht="45.75" hidden="false" customHeight="true" outlineLevel="0" collapsed="false">
      <c r="A116" s="11" t="n">
        <v>72</v>
      </c>
      <c r="B116" s="11" t="s">
        <v>1506</v>
      </c>
      <c r="C116" s="11" t="s">
        <v>1507</v>
      </c>
      <c r="D116" s="11" t="s">
        <v>1512</v>
      </c>
      <c r="E116" s="11" t="s">
        <v>1493</v>
      </c>
      <c r="F116" s="11" t="s">
        <v>836</v>
      </c>
      <c r="G116" s="11" t="s">
        <v>835</v>
      </c>
      <c r="H116" s="11" t="s">
        <v>836</v>
      </c>
      <c r="I116" s="11" t="s">
        <v>1384</v>
      </c>
      <c r="J116" s="11" t="s">
        <v>1395</v>
      </c>
      <c r="K116" s="19" t="n">
        <v>0.5</v>
      </c>
      <c r="L116" s="11" t="s">
        <v>830</v>
      </c>
      <c r="M116" s="11" t="s">
        <v>828</v>
      </c>
      <c r="N116" s="12"/>
      <c r="O116" s="20" t="n">
        <v>46072</v>
      </c>
      <c r="P116" s="20"/>
      <c r="Q116" s="20"/>
      <c r="R116" s="11" t="s">
        <v>1345</v>
      </c>
      <c r="S116" s="11" t="s">
        <v>1346</v>
      </c>
      <c r="T116" s="11" t="str">
        <f aca="false">IF(P116="","No deadline",IF(Q116&lt;&gt;"",IF(Q116&gt;P116,"Late","On time"),IF(README!$B$4&gt;P116,"Overdue","Open")))</f>
        <v>No deadline</v>
      </c>
      <c r="U116" s="11" t="s">
        <v>1347</v>
      </c>
      <c r="V116" s="11" t="s">
        <v>1509</v>
      </c>
      <c r="W116" s="11"/>
      <c r="X116" s="11" t="s">
        <v>1265</v>
      </c>
      <c r="Y116" s="11" t="str">
        <f aca="false">IF(AND(S116="Completed",P116&lt;&gt;"",Q116&lt;&gt;""),IF(AND(T116="Late",X116="Yes",W116="Yes"),"Excluded (validated delay)","Yes"),"No")</f>
        <v>No</v>
      </c>
      <c r="Z116" s="13" t="s">
        <v>1510</v>
      </c>
    </row>
    <row r="117" customFormat="false" ht="45.75" hidden="false" customHeight="true" outlineLevel="0" collapsed="false">
      <c r="A117" s="11" t="n">
        <v>72</v>
      </c>
      <c r="B117" s="11" t="s">
        <v>1506</v>
      </c>
      <c r="C117" s="11" t="s">
        <v>1507</v>
      </c>
      <c r="D117" s="11" t="s">
        <v>1512</v>
      </c>
      <c r="E117" s="11" t="s">
        <v>1493</v>
      </c>
      <c r="F117" s="11" t="s">
        <v>1511</v>
      </c>
      <c r="G117" s="11" t="s">
        <v>847</v>
      </c>
      <c r="H117" s="11" t="s">
        <v>848</v>
      </c>
      <c r="I117" s="11" t="s">
        <v>1474</v>
      </c>
      <c r="J117" s="11" t="s">
        <v>1395</v>
      </c>
      <c r="K117" s="19" t="n">
        <v>0.5</v>
      </c>
      <c r="L117" s="11" t="s">
        <v>830</v>
      </c>
      <c r="M117" s="11" t="s">
        <v>828</v>
      </c>
      <c r="N117" s="12"/>
      <c r="O117" s="20" t="n">
        <v>46072</v>
      </c>
      <c r="P117" s="20"/>
      <c r="Q117" s="20"/>
      <c r="R117" s="11" t="s">
        <v>1345</v>
      </c>
      <c r="S117" s="11" t="s">
        <v>1346</v>
      </c>
      <c r="T117" s="11" t="str">
        <f aca="false">IF(P117="","No deadline",IF(Q117&lt;&gt;"",IF(Q117&gt;P117,"Late","On time"),IF(README!$B$4&gt;P117,"Overdue","Open")))</f>
        <v>No deadline</v>
      </c>
      <c r="U117" s="11" t="s">
        <v>1347</v>
      </c>
      <c r="V117" s="11" t="s">
        <v>1509</v>
      </c>
      <c r="W117" s="11"/>
      <c r="X117" s="11" t="s">
        <v>1265</v>
      </c>
      <c r="Y117" s="11" t="str">
        <f aca="false">IF(AND(S117="Completed",P117&lt;&gt;"",Q117&lt;&gt;""),IF(AND(T117="Late",X117="Yes",W117="Yes"),"Excluded (validated delay)","Yes"),"No")</f>
        <v>No</v>
      </c>
      <c r="Z117" s="13" t="s">
        <v>1510</v>
      </c>
    </row>
    <row r="118" customFormat="false" ht="45.75" hidden="false" customHeight="true" outlineLevel="0" collapsed="false">
      <c r="A118" s="11" t="n">
        <v>73</v>
      </c>
      <c r="B118" s="11" t="s">
        <v>1506</v>
      </c>
      <c r="C118" s="11" t="s">
        <v>1507</v>
      </c>
      <c r="D118" s="11" t="s">
        <v>1513</v>
      </c>
      <c r="E118" s="11" t="s">
        <v>1495</v>
      </c>
      <c r="F118" s="11" t="s">
        <v>836</v>
      </c>
      <c r="G118" s="11" t="s">
        <v>835</v>
      </c>
      <c r="H118" s="11" t="s">
        <v>836</v>
      </c>
      <c r="I118" s="11" t="s">
        <v>1384</v>
      </c>
      <c r="J118" s="11" t="s">
        <v>1395</v>
      </c>
      <c r="K118" s="19" t="n">
        <v>0.5</v>
      </c>
      <c r="L118" s="11" t="s">
        <v>830</v>
      </c>
      <c r="M118" s="11" t="s">
        <v>828</v>
      </c>
      <c r="N118" s="12"/>
      <c r="O118" s="20" t="n">
        <v>46072</v>
      </c>
      <c r="P118" s="20"/>
      <c r="Q118" s="20"/>
      <c r="R118" s="11" t="s">
        <v>1345</v>
      </c>
      <c r="S118" s="11" t="s">
        <v>1346</v>
      </c>
      <c r="T118" s="11" t="str">
        <f aca="false">IF(P118="","No deadline",IF(Q118&lt;&gt;"",IF(Q118&gt;P118,"Late","On time"),IF(README!$B$4&gt;P118,"Overdue","Open")))</f>
        <v>No deadline</v>
      </c>
      <c r="U118" s="11" t="s">
        <v>1347</v>
      </c>
      <c r="V118" s="11" t="s">
        <v>1509</v>
      </c>
      <c r="W118" s="11"/>
      <c r="X118" s="11" t="s">
        <v>1265</v>
      </c>
      <c r="Y118" s="11" t="str">
        <f aca="false">IF(AND(S118="Completed",P118&lt;&gt;"",Q118&lt;&gt;""),IF(AND(T118="Late",X118="Yes",W118="Yes"),"Excluded (validated delay)","Yes"),"No")</f>
        <v>No</v>
      </c>
      <c r="Z118" s="13" t="s">
        <v>1510</v>
      </c>
    </row>
    <row r="119" customFormat="false" ht="45.75" hidden="false" customHeight="true" outlineLevel="0" collapsed="false">
      <c r="A119" s="11" t="n">
        <v>73</v>
      </c>
      <c r="B119" s="11" t="s">
        <v>1506</v>
      </c>
      <c r="C119" s="11" t="s">
        <v>1507</v>
      </c>
      <c r="D119" s="11" t="s">
        <v>1513</v>
      </c>
      <c r="E119" s="11" t="s">
        <v>1495</v>
      </c>
      <c r="F119" s="11" t="s">
        <v>1511</v>
      </c>
      <c r="G119" s="11" t="s">
        <v>847</v>
      </c>
      <c r="H119" s="11" t="s">
        <v>848</v>
      </c>
      <c r="I119" s="11" t="s">
        <v>1474</v>
      </c>
      <c r="J119" s="11" t="s">
        <v>1395</v>
      </c>
      <c r="K119" s="19" t="n">
        <v>0.5</v>
      </c>
      <c r="L119" s="11" t="s">
        <v>830</v>
      </c>
      <c r="M119" s="11" t="s">
        <v>828</v>
      </c>
      <c r="N119" s="12"/>
      <c r="O119" s="20" t="n">
        <v>46072</v>
      </c>
      <c r="P119" s="20"/>
      <c r="Q119" s="20"/>
      <c r="R119" s="11" t="s">
        <v>1345</v>
      </c>
      <c r="S119" s="11" t="s">
        <v>1346</v>
      </c>
      <c r="T119" s="11" t="str">
        <f aca="false">IF(P119="","No deadline",IF(Q119&lt;&gt;"",IF(Q119&gt;P119,"Late","On time"),IF(README!$B$4&gt;P119,"Overdue","Open")))</f>
        <v>No deadline</v>
      </c>
      <c r="U119" s="11" t="s">
        <v>1347</v>
      </c>
      <c r="V119" s="11" t="s">
        <v>1509</v>
      </c>
      <c r="W119" s="11"/>
      <c r="X119" s="11" t="s">
        <v>1265</v>
      </c>
      <c r="Y119" s="11" t="str">
        <f aca="false">IF(AND(S119="Completed",P119&lt;&gt;"",Q119&lt;&gt;""),IF(AND(T119="Late",X119="Yes",W119="Yes"),"Excluded (validated delay)","Yes"),"No")</f>
        <v>No</v>
      </c>
      <c r="Z119" s="13" t="s">
        <v>1510</v>
      </c>
    </row>
    <row r="120" customFormat="false" ht="34.5" hidden="false" customHeight="true" outlineLevel="0" collapsed="false">
      <c r="A120" s="11" t="n">
        <v>74</v>
      </c>
      <c r="B120" s="11" t="s">
        <v>1514</v>
      </c>
      <c r="C120" s="11" t="s">
        <v>1515</v>
      </c>
      <c r="D120" s="11" t="s">
        <v>1516</v>
      </c>
      <c r="E120" s="11" t="s">
        <v>1490</v>
      </c>
      <c r="F120" s="11" t="s">
        <v>1438</v>
      </c>
      <c r="G120" s="11" t="s">
        <v>886</v>
      </c>
      <c r="H120" s="11" t="s">
        <v>887</v>
      </c>
      <c r="I120" s="11" t="s">
        <v>1439</v>
      </c>
      <c r="J120" s="11" t="s">
        <v>1250</v>
      </c>
      <c r="K120" s="19" t="n">
        <v>1</v>
      </c>
      <c r="L120" s="11" t="s">
        <v>830</v>
      </c>
      <c r="M120" s="11" t="s">
        <v>828</v>
      </c>
      <c r="N120" s="12"/>
      <c r="O120" s="20" t="n">
        <v>46037</v>
      </c>
      <c r="P120" s="20"/>
      <c r="Q120" s="20"/>
      <c r="R120" s="11" t="s">
        <v>1345</v>
      </c>
      <c r="S120" s="11" t="s">
        <v>1309</v>
      </c>
      <c r="T120" s="11" t="str">
        <f aca="false">IF(P120="","No deadline",IF(Q120&lt;&gt;"",IF(Q120&gt;P120,"Late","On time"),IF(README!$B$4&gt;P120,"Overdue","Open")))</f>
        <v>No deadline</v>
      </c>
      <c r="U120" s="11"/>
      <c r="V120" s="11"/>
      <c r="W120" s="11"/>
      <c r="X120" s="11"/>
      <c r="Y120" s="11" t="str">
        <f aca="false">IF(AND(S120="Completed",P120&lt;&gt;"",Q120&lt;&gt;""),IF(AND(T120="Late",X120="Yes",W120="Yes"),"Excluded (validated delay)","Yes"),"No")</f>
        <v>No</v>
      </c>
      <c r="Z120" s="13" t="s">
        <v>1517</v>
      </c>
    </row>
    <row r="121" customFormat="false" ht="34.5" hidden="false" customHeight="true" outlineLevel="0" collapsed="false">
      <c r="A121" s="11" t="n">
        <v>75</v>
      </c>
      <c r="B121" s="11" t="s">
        <v>1514</v>
      </c>
      <c r="C121" s="11" t="s">
        <v>1515</v>
      </c>
      <c r="D121" s="11" t="s">
        <v>1518</v>
      </c>
      <c r="E121" s="11" t="s">
        <v>1493</v>
      </c>
      <c r="F121" s="11" t="s">
        <v>1438</v>
      </c>
      <c r="G121" s="11" t="s">
        <v>886</v>
      </c>
      <c r="H121" s="11" t="s">
        <v>887</v>
      </c>
      <c r="I121" s="11" t="s">
        <v>1439</v>
      </c>
      <c r="J121" s="11" t="s">
        <v>1250</v>
      </c>
      <c r="K121" s="19" t="n">
        <v>1</v>
      </c>
      <c r="L121" s="11" t="s">
        <v>830</v>
      </c>
      <c r="M121" s="11" t="s">
        <v>828</v>
      </c>
      <c r="N121" s="12"/>
      <c r="O121" s="20" t="n">
        <v>46037</v>
      </c>
      <c r="P121" s="20"/>
      <c r="Q121" s="20"/>
      <c r="R121" s="11" t="s">
        <v>1345</v>
      </c>
      <c r="S121" s="11" t="s">
        <v>1309</v>
      </c>
      <c r="T121" s="11" t="str">
        <f aca="false">IF(P121="","No deadline",IF(Q121&lt;&gt;"",IF(Q121&gt;P121,"Late","On time"),IF(README!$B$4&gt;P121,"Overdue","Open")))</f>
        <v>No deadline</v>
      </c>
      <c r="U121" s="11"/>
      <c r="V121" s="11"/>
      <c r="W121" s="11"/>
      <c r="X121" s="11"/>
      <c r="Y121" s="11" t="str">
        <f aca="false">IF(AND(S121="Completed",P121&lt;&gt;"",Q121&lt;&gt;""),IF(AND(T121="Late",X121="Yes",W121="Yes"),"Excluded (validated delay)","Yes"),"No")</f>
        <v>No</v>
      </c>
      <c r="Z121" s="13" t="s">
        <v>1517</v>
      </c>
    </row>
    <row r="122" customFormat="false" ht="34.5" hidden="false" customHeight="true" outlineLevel="0" collapsed="false">
      <c r="A122" s="11" t="n">
        <v>76</v>
      </c>
      <c r="B122" s="11" t="s">
        <v>1514</v>
      </c>
      <c r="C122" s="11" t="s">
        <v>1515</v>
      </c>
      <c r="D122" s="11" t="s">
        <v>1519</v>
      </c>
      <c r="E122" s="11" t="s">
        <v>1495</v>
      </c>
      <c r="F122" s="11" t="s">
        <v>1438</v>
      </c>
      <c r="G122" s="11" t="s">
        <v>886</v>
      </c>
      <c r="H122" s="11" t="s">
        <v>887</v>
      </c>
      <c r="I122" s="11" t="s">
        <v>1439</v>
      </c>
      <c r="J122" s="11" t="s">
        <v>1250</v>
      </c>
      <c r="K122" s="19" t="n">
        <v>1</v>
      </c>
      <c r="L122" s="11" t="s">
        <v>830</v>
      </c>
      <c r="M122" s="11" t="s">
        <v>828</v>
      </c>
      <c r="N122" s="12"/>
      <c r="O122" s="20" t="n">
        <v>46037</v>
      </c>
      <c r="P122" s="20"/>
      <c r="Q122" s="20"/>
      <c r="R122" s="11" t="s">
        <v>1345</v>
      </c>
      <c r="S122" s="11" t="s">
        <v>1309</v>
      </c>
      <c r="T122" s="11" t="str">
        <f aca="false">IF(P122="","No deadline",IF(Q122&lt;&gt;"",IF(Q122&gt;P122,"Late","On time"),IF(README!$B$4&gt;P122,"Overdue","Open")))</f>
        <v>No deadline</v>
      </c>
      <c r="U122" s="11"/>
      <c r="V122" s="11"/>
      <c r="W122" s="11"/>
      <c r="X122" s="11"/>
      <c r="Y122" s="11" t="str">
        <f aca="false">IF(AND(S122="Completed",P122&lt;&gt;"",Q122&lt;&gt;""),IF(AND(T122="Late",X122="Yes",W122="Yes"),"Excluded (validated delay)","Yes"),"No")</f>
        <v>No</v>
      </c>
      <c r="Z122" s="13" t="s">
        <v>1517</v>
      </c>
    </row>
    <row r="123" customFormat="false" ht="34.5" hidden="false" customHeight="true" outlineLevel="0" collapsed="false">
      <c r="A123" s="11" t="n">
        <v>77</v>
      </c>
      <c r="B123" s="11" t="s">
        <v>1520</v>
      </c>
      <c r="C123" s="11" t="s">
        <v>1521</v>
      </c>
      <c r="D123" s="11" t="s">
        <v>1522</v>
      </c>
      <c r="E123" s="11" t="s">
        <v>1490</v>
      </c>
      <c r="F123" s="11" t="s">
        <v>1473</v>
      </c>
      <c r="G123" s="11" t="s">
        <v>886</v>
      </c>
      <c r="H123" s="11" t="s">
        <v>887</v>
      </c>
      <c r="I123" s="11" t="s">
        <v>1474</v>
      </c>
      <c r="J123" s="11" t="s">
        <v>1395</v>
      </c>
      <c r="K123" s="19" t="n">
        <v>0.5</v>
      </c>
      <c r="L123" s="11" t="s">
        <v>830</v>
      </c>
      <c r="M123" s="11" t="s">
        <v>828</v>
      </c>
      <c r="N123" s="12"/>
      <c r="O123" s="20" t="n">
        <v>46099</v>
      </c>
      <c r="P123" s="20"/>
      <c r="Q123" s="20"/>
      <c r="R123" s="11" t="s">
        <v>1464</v>
      </c>
      <c r="S123" s="11" t="s">
        <v>1464</v>
      </c>
      <c r="T123" s="11" t="str">
        <f aca="false">IF(P123="","No deadline",IF(Q123&lt;&gt;"",IF(Q123&gt;P123,"Late","On time"),IF(README!$B$4&gt;P123,"Overdue","Open")))</f>
        <v>No deadline</v>
      </c>
      <c r="U123" s="11" t="s">
        <v>1347</v>
      </c>
      <c r="V123" s="11" t="s">
        <v>1509</v>
      </c>
      <c r="W123" s="11"/>
      <c r="X123" s="11" t="s">
        <v>1265</v>
      </c>
      <c r="Y123" s="11" t="str">
        <f aca="false">IF(AND(S123="Completed",P123&lt;&gt;"",Q123&lt;&gt;""),IF(AND(T123="Late",X123="Yes",W123="Yes"),"Excluded (validated delay)","Yes"),"No")</f>
        <v>No</v>
      </c>
      <c r="Z123" s="13" t="s">
        <v>1442</v>
      </c>
    </row>
    <row r="124" customFormat="false" ht="34.5" hidden="false" customHeight="true" outlineLevel="0" collapsed="false">
      <c r="A124" s="11" t="n">
        <v>77</v>
      </c>
      <c r="B124" s="11" t="s">
        <v>1520</v>
      </c>
      <c r="C124" s="11" t="s">
        <v>1521</v>
      </c>
      <c r="D124" s="11" t="s">
        <v>1522</v>
      </c>
      <c r="E124" s="11" t="s">
        <v>1490</v>
      </c>
      <c r="F124" s="11" t="s">
        <v>836</v>
      </c>
      <c r="G124" s="11" t="s">
        <v>835</v>
      </c>
      <c r="H124" s="11" t="s">
        <v>836</v>
      </c>
      <c r="I124" s="11" t="s">
        <v>1384</v>
      </c>
      <c r="J124" s="11" t="s">
        <v>1395</v>
      </c>
      <c r="K124" s="19" t="n">
        <v>0.5</v>
      </c>
      <c r="L124" s="11" t="s">
        <v>830</v>
      </c>
      <c r="M124" s="11" t="s">
        <v>828</v>
      </c>
      <c r="N124" s="12"/>
      <c r="O124" s="20" t="n">
        <v>46099</v>
      </c>
      <c r="P124" s="20"/>
      <c r="Q124" s="20"/>
      <c r="R124" s="11" t="s">
        <v>1464</v>
      </c>
      <c r="S124" s="11" t="s">
        <v>1464</v>
      </c>
      <c r="T124" s="11" t="str">
        <f aca="false">IF(P124="","No deadline",IF(Q124&lt;&gt;"",IF(Q124&gt;P124,"Late","On time"),IF(README!$B$4&gt;P124,"Overdue","Open")))</f>
        <v>No deadline</v>
      </c>
      <c r="U124" s="11" t="s">
        <v>1347</v>
      </c>
      <c r="V124" s="11" t="s">
        <v>1509</v>
      </c>
      <c r="W124" s="11"/>
      <c r="X124" s="11" t="s">
        <v>1265</v>
      </c>
      <c r="Y124" s="11" t="str">
        <f aca="false">IF(AND(S124="Completed",P124&lt;&gt;"",Q124&lt;&gt;""),IF(AND(T124="Late",X124="Yes",W124="Yes"),"Excluded (validated delay)","Yes"),"No")</f>
        <v>No</v>
      </c>
      <c r="Z124" s="13" t="s">
        <v>1442</v>
      </c>
    </row>
    <row r="125" customFormat="false" ht="34.5" hidden="false" customHeight="true" outlineLevel="0" collapsed="false">
      <c r="A125" s="11" t="n">
        <v>78</v>
      </c>
      <c r="B125" s="11" t="s">
        <v>1520</v>
      </c>
      <c r="C125" s="11" t="s">
        <v>1521</v>
      </c>
      <c r="D125" s="11" t="s">
        <v>1523</v>
      </c>
      <c r="E125" s="11" t="s">
        <v>1493</v>
      </c>
      <c r="F125" s="11" t="s">
        <v>1473</v>
      </c>
      <c r="G125" s="11" t="s">
        <v>886</v>
      </c>
      <c r="H125" s="11" t="s">
        <v>887</v>
      </c>
      <c r="I125" s="11" t="s">
        <v>1474</v>
      </c>
      <c r="J125" s="11" t="s">
        <v>1395</v>
      </c>
      <c r="K125" s="19" t="n">
        <v>0.5</v>
      </c>
      <c r="L125" s="11" t="s">
        <v>830</v>
      </c>
      <c r="M125" s="11" t="s">
        <v>828</v>
      </c>
      <c r="N125" s="12"/>
      <c r="O125" s="20" t="n">
        <v>46099</v>
      </c>
      <c r="P125" s="20"/>
      <c r="Q125" s="20"/>
      <c r="R125" s="11" t="s">
        <v>1464</v>
      </c>
      <c r="S125" s="11" t="s">
        <v>1464</v>
      </c>
      <c r="T125" s="11" t="str">
        <f aca="false">IF(P125="","No deadline",IF(Q125&lt;&gt;"",IF(Q125&gt;P125,"Late","On time"),IF(README!$B$4&gt;P125,"Overdue","Open")))</f>
        <v>No deadline</v>
      </c>
      <c r="U125" s="11" t="s">
        <v>1347</v>
      </c>
      <c r="V125" s="11" t="s">
        <v>1509</v>
      </c>
      <c r="W125" s="11"/>
      <c r="X125" s="11" t="s">
        <v>1265</v>
      </c>
      <c r="Y125" s="11" t="str">
        <f aca="false">IF(AND(S125="Completed",P125&lt;&gt;"",Q125&lt;&gt;""),IF(AND(T125="Late",X125="Yes",W125="Yes"),"Excluded (validated delay)","Yes"),"No")</f>
        <v>No</v>
      </c>
      <c r="Z125" s="13" t="s">
        <v>1442</v>
      </c>
    </row>
    <row r="126" customFormat="false" ht="34.5" hidden="false" customHeight="true" outlineLevel="0" collapsed="false">
      <c r="A126" s="11" t="n">
        <v>78</v>
      </c>
      <c r="B126" s="11" t="s">
        <v>1520</v>
      </c>
      <c r="C126" s="11" t="s">
        <v>1521</v>
      </c>
      <c r="D126" s="11" t="s">
        <v>1523</v>
      </c>
      <c r="E126" s="11" t="s">
        <v>1493</v>
      </c>
      <c r="F126" s="11" t="s">
        <v>836</v>
      </c>
      <c r="G126" s="11" t="s">
        <v>835</v>
      </c>
      <c r="H126" s="11" t="s">
        <v>836</v>
      </c>
      <c r="I126" s="11" t="s">
        <v>1384</v>
      </c>
      <c r="J126" s="11" t="s">
        <v>1395</v>
      </c>
      <c r="K126" s="19" t="n">
        <v>0.5</v>
      </c>
      <c r="L126" s="11" t="s">
        <v>830</v>
      </c>
      <c r="M126" s="11" t="s">
        <v>828</v>
      </c>
      <c r="N126" s="12"/>
      <c r="O126" s="20" t="n">
        <v>46099</v>
      </c>
      <c r="P126" s="20"/>
      <c r="Q126" s="20"/>
      <c r="R126" s="11" t="s">
        <v>1464</v>
      </c>
      <c r="S126" s="11" t="s">
        <v>1464</v>
      </c>
      <c r="T126" s="11" t="str">
        <f aca="false">IF(P126="","No deadline",IF(Q126&lt;&gt;"",IF(Q126&gt;P126,"Late","On time"),IF(README!$B$4&gt;P126,"Overdue","Open")))</f>
        <v>No deadline</v>
      </c>
      <c r="U126" s="11" t="s">
        <v>1347</v>
      </c>
      <c r="V126" s="11" t="s">
        <v>1509</v>
      </c>
      <c r="W126" s="11"/>
      <c r="X126" s="11" t="s">
        <v>1265</v>
      </c>
      <c r="Y126" s="11" t="str">
        <f aca="false">IF(AND(S126="Completed",P126&lt;&gt;"",Q126&lt;&gt;""),IF(AND(T126="Late",X126="Yes",W126="Yes"),"Excluded (validated delay)","Yes"),"No")</f>
        <v>No</v>
      </c>
      <c r="Z126" s="13" t="s">
        <v>1442</v>
      </c>
    </row>
    <row r="127" customFormat="false" ht="34.5" hidden="false" customHeight="true" outlineLevel="0" collapsed="false">
      <c r="A127" s="11" t="n">
        <v>79</v>
      </c>
      <c r="B127" s="11" t="s">
        <v>1520</v>
      </c>
      <c r="C127" s="11" t="s">
        <v>1521</v>
      </c>
      <c r="D127" s="11" t="s">
        <v>1524</v>
      </c>
      <c r="E127" s="11" t="s">
        <v>1495</v>
      </c>
      <c r="F127" s="11" t="s">
        <v>1473</v>
      </c>
      <c r="G127" s="11" t="s">
        <v>886</v>
      </c>
      <c r="H127" s="11" t="s">
        <v>887</v>
      </c>
      <c r="I127" s="11" t="s">
        <v>1474</v>
      </c>
      <c r="J127" s="11" t="s">
        <v>1395</v>
      </c>
      <c r="K127" s="19" t="n">
        <v>0.5</v>
      </c>
      <c r="L127" s="11" t="s">
        <v>830</v>
      </c>
      <c r="M127" s="11" t="s">
        <v>828</v>
      </c>
      <c r="N127" s="12"/>
      <c r="O127" s="20" t="n">
        <v>46099</v>
      </c>
      <c r="P127" s="20"/>
      <c r="Q127" s="20"/>
      <c r="R127" s="11" t="s">
        <v>1464</v>
      </c>
      <c r="S127" s="11" t="s">
        <v>1464</v>
      </c>
      <c r="T127" s="11" t="str">
        <f aca="false">IF(P127="","No deadline",IF(Q127&lt;&gt;"",IF(Q127&gt;P127,"Late","On time"),IF(README!$B$4&gt;P127,"Overdue","Open")))</f>
        <v>No deadline</v>
      </c>
      <c r="U127" s="11" t="s">
        <v>1347</v>
      </c>
      <c r="V127" s="11" t="s">
        <v>1509</v>
      </c>
      <c r="W127" s="11"/>
      <c r="X127" s="11" t="s">
        <v>1265</v>
      </c>
      <c r="Y127" s="11" t="str">
        <f aca="false">IF(AND(S127="Completed",P127&lt;&gt;"",Q127&lt;&gt;""),IF(AND(T127="Late",X127="Yes",W127="Yes"),"Excluded (validated delay)","Yes"),"No")</f>
        <v>No</v>
      </c>
      <c r="Z127" s="13" t="s">
        <v>1442</v>
      </c>
    </row>
    <row r="128" customFormat="false" ht="34.5" hidden="false" customHeight="true" outlineLevel="0" collapsed="false">
      <c r="A128" s="11" t="n">
        <v>79</v>
      </c>
      <c r="B128" s="11" t="s">
        <v>1520</v>
      </c>
      <c r="C128" s="11" t="s">
        <v>1521</v>
      </c>
      <c r="D128" s="11" t="s">
        <v>1524</v>
      </c>
      <c r="E128" s="11" t="s">
        <v>1495</v>
      </c>
      <c r="F128" s="11" t="s">
        <v>836</v>
      </c>
      <c r="G128" s="11" t="s">
        <v>835</v>
      </c>
      <c r="H128" s="11" t="s">
        <v>836</v>
      </c>
      <c r="I128" s="11" t="s">
        <v>1384</v>
      </c>
      <c r="J128" s="11" t="s">
        <v>1395</v>
      </c>
      <c r="K128" s="19" t="n">
        <v>0.5</v>
      </c>
      <c r="L128" s="11" t="s">
        <v>830</v>
      </c>
      <c r="M128" s="11" t="s">
        <v>828</v>
      </c>
      <c r="N128" s="12"/>
      <c r="O128" s="20" t="n">
        <v>46099</v>
      </c>
      <c r="P128" s="20"/>
      <c r="Q128" s="20"/>
      <c r="R128" s="11" t="s">
        <v>1464</v>
      </c>
      <c r="S128" s="11" t="s">
        <v>1464</v>
      </c>
      <c r="T128" s="11" t="str">
        <f aca="false">IF(P128="","No deadline",IF(Q128&lt;&gt;"",IF(Q128&gt;P128,"Late","On time"),IF(README!$B$4&gt;P128,"Overdue","Open")))</f>
        <v>No deadline</v>
      </c>
      <c r="U128" s="11" t="s">
        <v>1347</v>
      </c>
      <c r="V128" s="11" t="s">
        <v>1509</v>
      </c>
      <c r="W128" s="11"/>
      <c r="X128" s="11" t="s">
        <v>1265</v>
      </c>
      <c r="Y128" s="11" t="str">
        <f aca="false">IF(AND(S128="Completed",P128&lt;&gt;"",Q128&lt;&gt;""),IF(AND(T128="Late",X128="Yes",W128="Yes"),"Excluded (validated delay)","Yes"),"No")</f>
        <v>No</v>
      </c>
      <c r="Z128" s="13" t="s">
        <v>1442</v>
      </c>
    </row>
    <row r="129" customFormat="false" ht="23.25" hidden="false" customHeight="true" outlineLevel="0" collapsed="false">
      <c r="A129" s="11" t="n">
        <v>80</v>
      </c>
      <c r="B129" s="11" t="s">
        <v>1525</v>
      </c>
      <c r="C129" s="11" t="s">
        <v>1526</v>
      </c>
      <c r="D129" s="11" t="s">
        <v>1527</v>
      </c>
      <c r="E129" s="11" t="s">
        <v>1490</v>
      </c>
      <c r="F129" s="11" t="s">
        <v>836</v>
      </c>
      <c r="G129" s="11" t="s">
        <v>835</v>
      </c>
      <c r="H129" s="11" t="s">
        <v>836</v>
      </c>
      <c r="I129" s="11" t="s">
        <v>1384</v>
      </c>
      <c r="J129" s="11" t="s">
        <v>1250</v>
      </c>
      <c r="K129" s="19" t="n">
        <v>1</v>
      </c>
      <c r="L129" s="11" t="s">
        <v>830</v>
      </c>
      <c r="M129" s="11" t="s">
        <v>828</v>
      </c>
      <c r="N129" s="12"/>
      <c r="O129" s="20" t="n">
        <v>46113</v>
      </c>
      <c r="P129" s="20"/>
      <c r="Q129" s="20"/>
      <c r="R129" s="11" t="s">
        <v>1345</v>
      </c>
      <c r="S129" s="11" t="s">
        <v>1309</v>
      </c>
      <c r="T129" s="11" t="str">
        <f aca="false">IF(P129="","No deadline",IF(Q129&lt;&gt;"",IF(Q129&gt;P129,"Late","On time"),IF(README!$B$4&gt;P129,"Overdue","Open")))</f>
        <v>No deadline</v>
      </c>
      <c r="U129" s="11" t="s">
        <v>1528</v>
      </c>
      <c r="V129" s="11" t="s">
        <v>1529</v>
      </c>
      <c r="W129" s="11"/>
      <c r="X129" s="11" t="s">
        <v>1278</v>
      </c>
      <c r="Y129" s="11" t="str">
        <f aca="false">IF(AND(S129="Completed",P129&lt;&gt;"",Q129&lt;&gt;""),IF(AND(T129="Late",X129="Yes",W129="Yes"),"Excluded (validated delay)","Yes"),"No")</f>
        <v>No</v>
      </c>
      <c r="Z129" s="13" t="s">
        <v>1530</v>
      </c>
    </row>
    <row r="130" customFormat="false" ht="23.25" hidden="false" customHeight="true" outlineLevel="0" collapsed="false">
      <c r="A130" s="11" t="n">
        <v>81</v>
      </c>
      <c r="B130" s="11" t="s">
        <v>1525</v>
      </c>
      <c r="C130" s="11" t="s">
        <v>1526</v>
      </c>
      <c r="D130" s="11" t="s">
        <v>1531</v>
      </c>
      <c r="E130" s="11" t="s">
        <v>1493</v>
      </c>
      <c r="F130" s="11" t="s">
        <v>836</v>
      </c>
      <c r="G130" s="11" t="s">
        <v>835</v>
      </c>
      <c r="H130" s="11" t="s">
        <v>836</v>
      </c>
      <c r="I130" s="11" t="s">
        <v>1384</v>
      </c>
      <c r="J130" s="11" t="s">
        <v>1250</v>
      </c>
      <c r="K130" s="19" t="n">
        <v>1</v>
      </c>
      <c r="L130" s="11" t="s">
        <v>830</v>
      </c>
      <c r="M130" s="11" t="s">
        <v>828</v>
      </c>
      <c r="N130" s="12"/>
      <c r="O130" s="20" t="n">
        <v>46113</v>
      </c>
      <c r="P130" s="20"/>
      <c r="Q130" s="20"/>
      <c r="R130" s="11" t="s">
        <v>1345</v>
      </c>
      <c r="S130" s="11" t="s">
        <v>1309</v>
      </c>
      <c r="T130" s="11" t="str">
        <f aca="false">IF(P130="","No deadline",IF(Q130&lt;&gt;"",IF(Q130&gt;P130,"Late","On time"),IF(README!$B$4&gt;P130,"Overdue","Open")))</f>
        <v>No deadline</v>
      </c>
      <c r="U130" s="11" t="s">
        <v>1528</v>
      </c>
      <c r="V130" s="11" t="s">
        <v>1529</v>
      </c>
      <c r="W130" s="11"/>
      <c r="X130" s="11" t="s">
        <v>1278</v>
      </c>
      <c r="Y130" s="11" t="str">
        <f aca="false">IF(AND(S130="Completed",P130&lt;&gt;"",Q130&lt;&gt;""),IF(AND(T130="Late",X130="Yes",W130="Yes"),"Excluded (validated delay)","Yes"),"No")</f>
        <v>No</v>
      </c>
      <c r="Z130" s="13" t="s">
        <v>1530</v>
      </c>
    </row>
    <row r="131" customFormat="false" ht="23.25" hidden="false" customHeight="true" outlineLevel="0" collapsed="false">
      <c r="A131" s="11" t="n">
        <v>82</v>
      </c>
      <c r="B131" s="11" t="s">
        <v>1525</v>
      </c>
      <c r="C131" s="11" t="s">
        <v>1526</v>
      </c>
      <c r="D131" s="11" t="s">
        <v>1532</v>
      </c>
      <c r="E131" s="11" t="s">
        <v>1495</v>
      </c>
      <c r="F131" s="11" t="s">
        <v>836</v>
      </c>
      <c r="G131" s="11" t="s">
        <v>835</v>
      </c>
      <c r="H131" s="11" t="s">
        <v>836</v>
      </c>
      <c r="I131" s="11" t="s">
        <v>1384</v>
      </c>
      <c r="J131" s="11" t="s">
        <v>1250</v>
      </c>
      <c r="K131" s="19" t="n">
        <v>1</v>
      </c>
      <c r="L131" s="11" t="s">
        <v>830</v>
      </c>
      <c r="M131" s="11" t="s">
        <v>828</v>
      </c>
      <c r="N131" s="12"/>
      <c r="O131" s="20" t="n">
        <v>46113</v>
      </c>
      <c r="P131" s="20"/>
      <c r="Q131" s="20"/>
      <c r="R131" s="11" t="s">
        <v>1345</v>
      </c>
      <c r="S131" s="11" t="s">
        <v>1309</v>
      </c>
      <c r="T131" s="11" t="str">
        <f aca="false">IF(P131="","No deadline",IF(Q131&lt;&gt;"",IF(Q131&gt;P131,"Late","On time"),IF(README!$B$4&gt;P131,"Overdue","Open")))</f>
        <v>No deadline</v>
      </c>
      <c r="U131" s="11" t="s">
        <v>1528</v>
      </c>
      <c r="V131" s="11" t="s">
        <v>1529</v>
      </c>
      <c r="W131" s="11"/>
      <c r="X131" s="11" t="s">
        <v>1278</v>
      </c>
      <c r="Y131" s="11" t="str">
        <f aca="false">IF(AND(S131="Completed",P131&lt;&gt;"",Q131&lt;&gt;""),IF(AND(T131="Late",X131="Yes",W131="Yes"),"Excluded (validated delay)","Yes"),"No")</f>
        <v>No</v>
      </c>
      <c r="Z131" s="13" t="s">
        <v>1530</v>
      </c>
    </row>
    <row r="132" customFormat="false" ht="15" hidden="false" customHeight="true" outlineLevel="0" collapsed="false">
      <c r="A132" s="11" t="n">
        <v>83</v>
      </c>
      <c r="B132" s="11" t="s">
        <v>1533</v>
      </c>
      <c r="C132" s="11" t="s">
        <v>1534</v>
      </c>
      <c r="D132" s="11" t="s">
        <v>1535</v>
      </c>
      <c r="E132" s="11" t="s">
        <v>1490</v>
      </c>
      <c r="F132" s="11" t="s">
        <v>836</v>
      </c>
      <c r="G132" s="11" t="s">
        <v>835</v>
      </c>
      <c r="H132" s="11" t="s">
        <v>836</v>
      </c>
      <c r="I132" s="11" t="s">
        <v>1384</v>
      </c>
      <c r="J132" s="11" t="s">
        <v>1250</v>
      </c>
      <c r="K132" s="19" t="n">
        <v>1</v>
      </c>
      <c r="L132" s="11" t="s">
        <v>830</v>
      </c>
      <c r="M132" s="11" t="s">
        <v>828</v>
      </c>
      <c r="N132" s="12"/>
      <c r="O132" s="20" t="n">
        <v>46133</v>
      </c>
      <c r="P132" s="20"/>
      <c r="Q132" s="20"/>
      <c r="R132" s="11" t="s">
        <v>1308</v>
      </c>
      <c r="S132" s="11" t="s">
        <v>1309</v>
      </c>
      <c r="T132" s="11" t="str">
        <f aca="false">IF(P132="","No deadline",IF(Q132&lt;&gt;"",IF(Q132&gt;P132,"Late","On time"),IF(README!$B$4&gt;P132,"Overdue","Open")))</f>
        <v>No deadline</v>
      </c>
      <c r="U132" s="11" t="s">
        <v>1536</v>
      </c>
      <c r="V132" s="11"/>
      <c r="W132" s="11"/>
      <c r="X132" s="11"/>
      <c r="Y132" s="11" t="str">
        <f aca="false">IF(AND(S132="Completed",P132&lt;&gt;"",Q132&lt;&gt;""),IF(AND(T132="Late",X132="Yes",W132="Yes"),"Excluded (validated delay)","Yes"),"No")</f>
        <v>No</v>
      </c>
      <c r="Z132" s="13" t="s">
        <v>1537</v>
      </c>
    </row>
    <row r="133" customFormat="false" ht="15" hidden="false" customHeight="true" outlineLevel="0" collapsed="false">
      <c r="A133" s="11" t="n">
        <v>84</v>
      </c>
      <c r="B133" s="11" t="s">
        <v>1533</v>
      </c>
      <c r="C133" s="11" t="s">
        <v>1534</v>
      </c>
      <c r="D133" s="11" t="s">
        <v>1538</v>
      </c>
      <c r="E133" s="11" t="s">
        <v>1493</v>
      </c>
      <c r="F133" s="11" t="s">
        <v>836</v>
      </c>
      <c r="G133" s="11" t="s">
        <v>835</v>
      </c>
      <c r="H133" s="11" t="s">
        <v>836</v>
      </c>
      <c r="I133" s="11" t="s">
        <v>1384</v>
      </c>
      <c r="J133" s="11" t="s">
        <v>1250</v>
      </c>
      <c r="K133" s="19" t="n">
        <v>1</v>
      </c>
      <c r="L133" s="11" t="s">
        <v>830</v>
      </c>
      <c r="M133" s="11" t="s">
        <v>828</v>
      </c>
      <c r="N133" s="12"/>
      <c r="O133" s="20" t="n">
        <v>46133</v>
      </c>
      <c r="P133" s="20"/>
      <c r="Q133" s="20"/>
      <c r="R133" s="11" t="s">
        <v>1308</v>
      </c>
      <c r="S133" s="11" t="s">
        <v>1309</v>
      </c>
      <c r="T133" s="11" t="str">
        <f aca="false">IF(P133="","No deadline",IF(Q133&lt;&gt;"",IF(Q133&gt;P133,"Late","On time"),IF(README!$B$4&gt;P133,"Overdue","Open")))</f>
        <v>No deadline</v>
      </c>
      <c r="U133" s="11" t="s">
        <v>1536</v>
      </c>
      <c r="V133" s="11"/>
      <c r="W133" s="11"/>
      <c r="X133" s="11"/>
      <c r="Y133" s="11" t="str">
        <f aca="false">IF(AND(S133="Completed",P133&lt;&gt;"",Q133&lt;&gt;""),IF(AND(T133="Late",X133="Yes",W133="Yes"),"Excluded (validated delay)","Yes"),"No")</f>
        <v>No</v>
      </c>
      <c r="Z133" s="13" t="s">
        <v>1537</v>
      </c>
    </row>
    <row r="134" customFormat="false" ht="15" hidden="false" customHeight="true" outlineLevel="0" collapsed="false">
      <c r="A134" s="11" t="n">
        <v>85</v>
      </c>
      <c r="B134" s="11" t="s">
        <v>1533</v>
      </c>
      <c r="C134" s="11" t="s">
        <v>1534</v>
      </c>
      <c r="D134" s="11" t="s">
        <v>1539</v>
      </c>
      <c r="E134" s="11" t="s">
        <v>1495</v>
      </c>
      <c r="F134" s="11" t="s">
        <v>836</v>
      </c>
      <c r="G134" s="11" t="s">
        <v>835</v>
      </c>
      <c r="H134" s="11" t="s">
        <v>836</v>
      </c>
      <c r="I134" s="11" t="s">
        <v>1384</v>
      </c>
      <c r="J134" s="11" t="s">
        <v>1250</v>
      </c>
      <c r="K134" s="19" t="n">
        <v>1</v>
      </c>
      <c r="L134" s="11" t="s">
        <v>830</v>
      </c>
      <c r="M134" s="11" t="s">
        <v>828</v>
      </c>
      <c r="N134" s="12"/>
      <c r="O134" s="20" t="n">
        <v>46133</v>
      </c>
      <c r="P134" s="20"/>
      <c r="Q134" s="20"/>
      <c r="R134" s="11" t="s">
        <v>1308</v>
      </c>
      <c r="S134" s="11" t="s">
        <v>1309</v>
      </c>
      <c r="T134" s="11" t="str">
        <f aca="false">IF(P134="","No deadline",IF(Q134&lt;&gt;"",IF(Q134&gt;P134,"Late","On time"),IF(README!$B$4&gt;P134,"Overdue","Open")))</f>
        <v>No deadline</v>
      </c>
      <c r="U134" s="11" t="s">
        <v>1536</v>
      </c>
      <c r="V134" s="11"/>
      <c r="W134" s="11"/>
      <c r="X134" s="11"/>
      <c r="Y134" s="11" t="str">
        <f aca="false">IF(AND(S134="Completed",P134&lt;&gt;"",Q134&lt;&gt;""),IF(AND(T134="Late",X134="Yes",W134="Yes"),"Excluded (validated delay)","Yes"),"No")</f>
        <v>No</v>
      </c>
      <c r="Z134" s="13" t="s">
        <v>1537</v>
      </c>
    </row>
    <row r="135" customFormat="false" ht="15" hidden="false" customHeight="true" outlineLevel="0" collapsed="false">
      <c r="A135" s="11" t="n">
        <v>86</v>
      </c>
      <c r="B135" s="11" t="s">
        <v>1540</v>
      </c>
      <c r="C135" s="11" t="s">
        <v>1541</v>
      </c>
      <c r="D135" s="11" t="s">
        <v>1542</v>
      </c>
      <c r="E135" s="11" t="s">
        <v>1490</v>
      </c>
      <c r="F135" s="11" t="s">
        <v>1438</v>
      </c>
      <c r="G135" s="11" t="s">
        <v>886</v>
      </c>
      <c r="H135" s="11" t="s">
        <v>887</v>
      </c>
      <c r="I135" s="11" t="s">
        <v>1439</v>
      </c>
      <c r="J135" s="11" t="s">
        <v>1250</v>
      </c>
      <c r="K135" s="19" t="n">
        <v>1</v>
      </c>
      <c r="L135" s="11" t="s">
        <v>830</v>
      </c>
      <c r="M135" s="11" t="s">
        <v>828</v>
      </c>
      <c r="N135" s="12"/>
      <c r="O135" s="20" t="n">
        <v>46154</v>
      </c>
      <c r="P135" s="20"/>
      <c r="Q135" s="20"/>
      <c r="R135" s="11" t="s">
        <v>1464</v>
      </c>
      <c r="S135" s="11" t="s">
        <v>1464</v>
      </c>
      <c r="T135" s="11" t="str">
        <f aca="false">IF(P135="","No deadline",IF(Q135&lt;&gt;"",IF(Q135&gt;P135,"Late","On time"),IF(README!$B$4&gt;P135,"Overdue","Open")))</f>
        <v>No deadline</v>
      </c>
      <c r="U135" s="11"/>
      <c r="V135" s="11"/>
      <c r="W135" s="11"/>
      <c r="X135" s="11"/>
      <c r="Y135" s="11" t="str">
        <f aca="false">IF(AND(S135="Completed",P135&lt;&gt;"",Q135&lt;&gt;""),IF(AND(T135="Late",X135="Yes",W135="Yes"),"Excluded (validated delay)","Yes"),"No")</f>
        <v>No</v>
      </c>
      <c r="Z135" s="13" t="s">
        <v>1537</v>
      </c>
    </row>
    <row r="136" customFormat="false" ht="15" hidden="false" customHeight="true" outlineLevel="0" collapsed="false">
      <c r="A136" s="11" t="n">
        <v>87</v>
      </c>
      <c r="B136" s="11" t="s">
        <v>1540</v>
      </c>
      <c r="C136" s="11" t="s">
        <v>1541</v>
      </c>
      <c r="D136" s="11" t="s">
        <v>1543</v>
      </c>
      <c r="E136" s="11" t="s">
        <v>1493</v>
      </c>
      <c r="F136" s="11" t="s">
        <v>1438</v>
      </c>
      <c r="G136" s="11" t="s">
        <v>886</v>
      </c>
      <c r="H136" s="11" t="s">
        <v>887</v>
      </c>
      <c r="I136" s="11" t="s">
        <v>1439</v>
      </c>
      <c r="J136" s="11" t="s">
        <v>1250</v>
      </c>
      <c r="K136" s="19" t="n">
        <v>1</v>
      </c>
      <c r="L136" s="11" t="s">
        <v>830</v>
      </c>
      <c r="M136" s="11" t="s">
        <v>828</v>
      </c>
      <c r="N136" s="12"/>
      <c r="O136" s="20" t="n">
        <v>46154</v>
      </c>
      <c r="P136" s="20"/>
      <c r="Q136" s="20"/>
      <c r="R136" s="11" t="s">
        <v>1464</v>
      </c>
      <c r="S136" s="11" t="s">
        <v>1464</v>
      </c>
      <c r="T136" s="11" t="str">
        <f aca="false">IF(P136="","No deadline",IF(Q136&lt;&gt;"",IF(Q136&gt;P136,"Late","On time"),IF(README!$B$4&gt;P136,"Overdue","Open")))</f>
        <v>No deadline</v>
      </c>
      <c r="U136" s="11"/>
      <c r="V136" s="11"/>
      <c r="W136" s="11"/>
      <c r="X136" s="11"/>
      <c r="Y136" s="11" t="str">
        <f aca="false">IF(AND(S136="Completed",P136&lt;&gt;"",Q136&lt;&gt;""),IF(AND(T136="Late",X136="Yes",W136="Yes"),"Excluded (validated delay)","Yes"),"No")</f>
        <v>No</v>
      </c>
      <c r="Z136" s="13" t="s">
        <v>1537</v>
      </c>
    </row>
    <row r="137" customFormat="false" ht="15" hidden="false" customHeight="true" outlineLevel="0" collapsed="false">
      <c r="A137" s="11" t="n">
        <v>88</v>
      </c>
      <c r="B137" s="11" t="s">
        <v>1540</v>
      </c>
      <c r="C137" s="11" t="s">
        <v>1541</v>
      </c>
      <c r="D137" s="11" t="s">
        <v>1544</v>
      </c>
      <c r="E137" s="11" t="s">
        <v>1495</v>
      </c>
      <c r="F137" s="11" t="s">
        <v>1438</v>
      </c>
      <c r="G137" s="11" t="s">
        <v>886</v>
      </c>
      <c r="H137" s="11" t="s">
        <v>887</v>
      </c>
      <c r="I137" s="11" t="s">
        <v>1439</v>
      </c>
      <c r="J137" s="11" t="s">
        <v>1250</v>
      </c>
      <c r="K137" s="19" t="n">
        <v>1</v>
      </c>
      <c r="L137" s="11" t="s">
        <v>830</v>
      </c>
      <c r="M137" s="11" t="s">
        <v>828</v>
      </c>
      <c r="N137" s="12"/>
      <c r="O137" s="20" t="n">
        <v>46154</v>
      </c>
      <c r="P137" s="20"/>
      <c r="Q137" s="20"/>
      <c r="R137" s="11" t="s">
        <v>1464</v>
      </c>
      <c r="S137" s="11" t="s">
        <v>1464</v>
      </c>
      <c r="T137" s="11" t="str">
        <f aca="false">IF(P137="","No deadline",IF(Q137&lt;&gt;"",IF(Q137&gt;P137,"Late","On time"),IF(README!$B$4&gt;P137,"Overdue","Open")))</f>
        <v>No deadline</v>
      </c>
      <c r="U137" s="11"/>
      <c r="V137" s="11"/>
      <c r="W137" s="11"/>
      <c r="X137" s="11"/>
      <c r="Y137" s="11" t="str">
        <f aca="false">IF(AND(S137="Completed",P137&lt;&gt;"",Q137&lt;&gt;""),IF(AND(T137="Late",X137="Yes",W137="Yes"),"Excluded (validated delay)","Yes"),"No")</f>
        <v>No</v>
      </c>
      <c r="Z137" s="13" t="s">
        <v>1537</v>
      </c>
    </row>
    <row r="138" customFormat="false" ht="34.5" hidden="false" customHeight="true" outlineLevel="0" collapsed="false">
      <c r="A138" s="11" t="n">
        <v>89</v>
      </c>
      <c r="B138" s="11" t="s">
        <v>1545</v>
      </c>
      <c r="C138" s="11" t="s">
        <v>1546</v>
      </c>
      <c r="D138" s="11" t="s">
        <v>1547</v>
      </c>
      <c r="E138" s="11" t="s">
        <v>1490</v>
      </c>
      <c r="F138" s="11" t="s">
        <v>836</v>
      </c>
      <c r="G138" s="11" t="s">
        <v>835</v>
      </c>
      <c r="H138" s="11" t="s">
        <v>836</v>
      </c>
      <c r="I138" s="11" t="s">
        <v>1384</v>
      </c>
      <c r="J138" s="11" t="s">
        <v>1395</v>
      </c>
      <c r="K138" s="19" t="n">
        <v>0.5</v>
      </c>
      <c r="L138" s="11" t="s">
        <v>830</v>
      </c>
      <c r="M138" s="11" t="s">
        <v>828</v>
      </c>
      <c r="N138" s="12"/>
      <c r="O138" s="20" t="n">
        <v>46161</v>
      </c>
      <c r="P138" s="20"/>
      <c r="Q138" s="20" t="n">
        <v>46254</v>
      </c>
      <c r="R138" s="11" t="s">
        <v>1308</v>
      </c>
      <c r="S138" s="11" t="s">
        <v>1309</v>
      </c>
      <c r="T138" s="11" t="str">
        <f aca="false">IF(P138="","No deadline",IF(Q138&lt;&gt;"",IF(Q138&gt;P138,"Late","On time"),IF(README!$B$4&gt;P138,"Overdue","Open")))</f>
        <v>No deadline</v>
      </c>
      <c r="U138" s="11" t="s">
        <v>1536</v>
      </c>
      <c r="V138" s="11"/>
      <c r="W138" s="11"/>
      <c r="X138" s="11"/>
      <c r="Y138" s="11" t="str">
        <f aca="false">IF(AND(S138="Completed",P138&lt;&gt;"",Q138&lt;&gt;""),IF(AND(T138="Late",X138="Yes",W138="Yes"),"Excluded (validated delay)","Yes"),"No")</f>
        <v>No</v>
      </c>
      <c r="Z138" s="13" t="s">
        <v>1548</v>
      </c>
    </row>
    <row r="139" customFormat="false" ht="34.5" hidden="false" customHeight="true" outlineLevel="0" collapsed="false">
      <c r="A139" s="11" t="n">
        <v>89</v>
      </c>
      <c r="B139" s="11" t="s">
        <v>1545</v>
      </c>
      <c r="C139" s="11" t="s">
        <v>1546</v>
      </c>
      <c r="D139" s="11" t="s">
        <v>1547</v>
      </c>
      <c r="E139" s="11" t="s">
        <v>1490</v>
      </c>
      <c r="F139" s="11" t="s">
        <v>866</v>
      </c>
      <c r="G139" s="11" t="s">
        <v>865</v>
      </c>
      <c r="H139" s="11" t="s">
        <v>866</v>
      </c>
      <c r="I139" s="11" t="s">
        <v>1549</v>
      </c>
      <c r="J139" s="11" t="s">
        <v>1395</v>
      </c>
      <c r="K139" s="19" t="n">
        <v>0.5</v>
      </c>
      <c r="L139" s="11" t="s">
        <v>830</v>
      </c>
      <c r="M139" s="11" t="s">
        <v>828</v>
      </c>
      <c r="N139" s="12"/>
      <c r="O139" s="20" t="n">
        <v>46161</v>
      </c>
      <c r="P139" s="20"/>
      <c r="Q139" s="20" t="n">
        <v>46254</v>
      </c>
      <c r="R139" s="11" t="s">
        <v>1308</v>
      </c>
      <c r="S139" s="11" t="s">
        <v>1309</v>
      </c>
      <c r="T139" s="11" t="str">
        <f aca="false">IF(P139="","No deadline",IF(Q139&lt;&gt;"",IF(Q139&gt;P139,"Late","On time"),IF(README!$B$4&gt;P139,"Overdue","Open")))</f>
        <v>No deadline</v>
      </c>
      <c r="U139" s="11" t="s">
        <v>1536</v>
      </c>
      <c r="V139" s="11"/>
      <c r="W139" s="11"/>
      <c r="X139" s="11"/>
      <c r="Y139" s="11" t="str">
        <f aca="false">IF(AND(S139="Completed",P139&lt;&gt;"",Q139&lt;&gt;""),IF(AND(T139="Late",X139="Yes",W139="Yes"),"Excluded (validated delay)","Yes"),"No")</f>
        <v>No</v>
      </c>
      <c r="Z139" s="13" t="s">
        <v>1548</v>
      </c>
    </row>
    <row r="140" customFormat="false" ht="34.5" hidden="false" customHeight="true" outlineLevel="0" collapsed="false">
      <c r="A140" s="11" t="n">
        <v>90</v>
      </c>
      <c r="B140" s="11" t="s">
        <v>1545</v>
      </c>
      <c r="C140" s="11" t="s">
        <v>1546</v>
      </c>
      <c r="D140" s="11" t="s">
        <v>1550</v>
      </c>
      <c r="E140" s="11" t="s">
        <v>1493</v>
      </c>
      <c r="F140" s="11" t="s">
        <v>836</v>
      </c>
      <c r="G140" s="11" t="s">
        <v>835</v>
      </c>
      <c r="H140" s="11" t="s">
        <v>836</v>
      </c>
      <c r="I140" s="11" t="s">
        <v>1384</v>
      </c>
      <c r="J140" s="11" t="s">
        <v>1395</v>
      </c>
      <c r="K140" s="19" t="n">
        <v>0.5</v>
      </c>
      <c r="L140" s="11" t="s">
        <v>830</v>
      </c>
      <c r="M140" s="11" t="s">
        <v>828</v>
      </c>
      <c r="N140" s="12"/>
      <c r="O140" s="20" t="n">
        <v>46161</v>
      </c>
      <c r="P140" s="20"/>
      <c r="Q140" s="20" t="n">
        <v>46254</v>
      </c>
      <c r="R140" s="11" t="s">
        <v>1308</v>
      </c>
      <c r="S140" s="11" t="s">
        <v>1309</v>
      </c>
      <c r="T140" s="11" t="str">
        <f aca="false">IF(P140="","No deadline",IF(Q140&lt;&gt;"",IF(Q140&gt;P140,"Late","On time"),IF(README!$B$4&gt;P140,"Overdue","Open")))</f>
        <v>No deadline</v>
      </c>
      <c r="U140" s="11" t="s">
        <v>1536</v>
      </c>
      <c r="V140" s="11"/>
      <c r="W140" s="11"/>
      <c r="X140" s="11"/>
      <c r="Y140" s="11" t="str">
        <f aca="false">IF(AND(S140="Completed",P140&lt;&gt;"",Q140&lt;&gt;""),IF(AND(T140="Late",X140="Yes",W140="Yes"),"Excluded (validated delay)","Yes"),"No")</f>
        <v>No</v>
      </c>
      <c r="Z140" s="13" t="s">
        <v>1548</v>
      </c>
    </row>
    <row r="141" customFormat="false" ht="34.5" hidden="false" customHeight="true" outlineLevel="0" collapsed="false">
      <c r="A141" s="11" t="n">
        <v>90</v>
      </c>
      <c r="B141" s="11" t="s">
        <v>1545</v>
      </c>
      <c r="C141" s="11" t="s">
        <v>1546</v>
      </c>
      <c r="D141" s="11" t="s">
        <v>1550</v>
      </c>
      <c r="E141" s="11" t="s">
        <v>1493</v>
      </c>
      <c r="F141" s="11" t="s">
        <v>866</v>
      </c>
      <c r="G141" s="11" t="s">
        <v>865</v>
      </c>
      <c r="H141" s="11" t="s">
        <v>866</v>
      </c>
      <c r="I141" s="11" t="s">
        <v>1549</v>
      </c>
      <c r="J141" s="11" t="s">
        <v>1395</v>
      </c>
      <c r="K141" s="19" t="n">
        <v>0.5</v>
      </c>
      <c r="L141" s="11" t="s">
        <v>830</v>
      </c>
      <c r="M141" s="11" t="s">
        <v>828</v>
      </c>
      <c r="N141" s="12"/>
      <c r="O141" s="20" t="n">
        <v>46161</v>
      </c>
      <c r="P141" s="20"/>
      <c r="Q141" s="20" t="n">
        <v>46254</v>
      </c>
      <c r="R141" s="11" t="s">
        <v>1308</v>
      </c>
      <c r="S141" s="11" t="s">
        <v>1309</v>
      </c>
      <c r="T141" s="11" t="str">
        <f aca="false">IF(P141="","No deadline",IF(Q141&lt;&gt;"",IF(Q141&gt;P141,"Late","On time"),IF(README!$B$4&gt;P141,"Overdue","Open")))</f>
        <v>No deadline</v>
      </c>
      <c r="U141" s="11" t="s">
        <v>1536</v>
      </c>
      <c r="V141" s="11"/>
      <c r="W141" s="11"/>
      <c r="X141" s="11"/>
      <c r="Y141" s="11" t="str">
        <f aca="false">IF(AND(S141="Completed",P141&lt;&gt;"",Q141&lt;&gt;""),IF(AND(T141="Late",X141="Yes",W141="Yes"),"Excluded (validated delay)","Yes"),"No")</f>
        <v>No</v>
      </c>
      <c r="Z141" s="13" t="s">
        <v>1548</v>
      </c>
    </row>
    <row r="142" customFormat="false" ht="34.5" hidden="false" customHeight="true" outlineLevel="0" collapsed="false">
      <c r="A142" s="11" t="n">
        <v>91</v>
      </c>
      <c r="B142" s="11" t="s">
        <v>1545</v>
      </c>
      <c r="C142" s="11" t="s">
        <v>1546</v>
      </c>
      <c r="D142" s="11" t="s">
        <v>1551</v>
      </c>
      <c r="E142" s="11" t="s">
        <v>1495</v>
      </c>
      <c r="F142" s="11" t="s">
        <v>836</v>
      </c>
      <c r="G142" s="11" t="s">
        <v>835</v>
      </c>
      <c r="H142" s="11" t="s">
        <v>836</v>
      </c>
      <c r="I142" s="11" t="s">
        <v>1384</v>
      </c>
      <c r="J142" s="11" t="s">
        <v>1395</v>
      </c>
      <c r="K142" s="19" t="n">
        <v>0.5</v>
      </c>
      <c r="L142" s="11" t="s">
        <v>830</v>
      </c>
      <c r="M142" s="11" t="s">
        <v>828</v>
      </c>
      <c r="N142" s="12"/>
      <c r="O142" s="20" t="n">
        <v>46161</v>
      </c>
      <c r="P142" s="20"/>
      <c r="Q142" s="20" t="n">
        <v>46254</v>
      </c>
      <c r="R142" s="11" t="s">
        <v>1308</v>
      </c>
      <c r="S142" s="11" t="s">
        <v>1309</v>
      </c>
      <c r="T142" s="11" t="str">
        <f aca="false">IF(P142="","No deadline",IF(Q142&lt;&gt;"",IF(Q142&gt;P142,"Late","On time"),IF(README!$B$4&gt;P142,"Overdue","Open")))</f>
        <v>No deadline</v>
      </c>
      <c r="U142" s="11" t="s">
        <v>1536</v>
      </c>
      <c r="V142" s="11"/>
      <c r="W142" s="11"/>
      <c r="X142" s="11"/>
      <c r="Y142" s="11" t="str">
        <f aca="false">IF(AND(S142="Completed",P142&lt;&gt;"",Q142&lt;&gt;""),IF(AND(T142="Late",X142="Yes",W142="Yes"),"Excluded (validated delay)","Yes"),"No")</f>
        <v>No</v>
      </c>
      <c r="Z142" s="13" t="s">
        <v>1548</v>
      </c>
    </row>
    <row r="143" customFormat="false" ht="34.5" hidden="false" customHeight="true" outlineLevel="0" collapsed="false">
      <c r="A143" s="11" t="n">
        <v>91</v>
      </c>
      <c r="B143" s="11" t="s">
        <v>1545</v>
      </c>
      <c r="C143" s="11" t="s">
        <v>1546</v>
      </c>
      <c r="D143" s="11" t="s">
        <v>1551</v>
      </c>
      <c r="E143" s="11" t="s">
        <v>1495</v>
      </c>
      <c r="F143" s="11" t="s">
        <v>866</v>
      </c>
      <c r="G143" s="11" t="s">
        <v>865</v>
      </c>
      <c r="H143" s="11" t="s">
        <v>866</v>
      </c>
      <c r="I143" s="11" t="s">
        <v>1549</v>
      </c>
      <c r="J143" s="11" t="s">
        <v>1395</v>
      </c>
      <c r="K143" s="19" t="n">
        <v>0.5</v>
      </c>
      <c r="L143" s="11" t="s">
        <v>830</v>
      </c>
      <c r="M143" s="11" t="s">
        <v>828</v>
      </c>
      <c r="N143" s="12"/>
      <c r="O143" s="20" t="n">
        <v>46161</v>
      </c>
      <c r="P143" s="20"/>
      <c r="Q143" s="20" t="n">
        <v>46254</v>
      </c>
      <c r="R143" s="11" t="s">
        <v>1308</v>
      </c>
      <c r="S143" s="11" t="s">
        <v>1309</v>
      </c>
      <c r="T143" s="11" t="str">
        <f aca="false">IF(P143="","No deadline",IF(Q143&lt;&gt;"",IF(Q143&gt;P143,"Late","On time"),IF(README!$B$4&gt;P143,"Overdue","Open")))</f>
        <v>No deadline</v>
      </c>
      <c r="U143" s="11" t="s">
        <v>1536</v>
      </c>
      <c r="V143" s="11"/>
      <c r="W143" s="11"/>
      <c r="X143" s="11"/>
      <c r="Y143" s="11" t="str">
        <f aca="false">IF(AND(S143="Completed",P143&lt;&gt;"",Q143&lt;&gt;""),IF(AND(T143="Late",X143="Yes",W143="Yes"),"Excluded (validated delay)","Yes"),"No")</f>
        <v>No</v>
      </c>
      <c r="Z143" s="13" t="s">
        <v>1548</v>
      </c>
    </row>
    <row r="144" customFormat="false" ht="15" hidden="false" customHeight="true" outlineLevel="0" collapsed="false">
      <c r="A144" s="11" t="n">
        <v>92</v>
      </c>
      <c r="B144" s="11" t="s">
        <v>1552</v>
      </c>
      <c r="C144" s="11" t="s">
        <v>1553</v>
      </c>
      <c r="D144" s="11" t="s">
        <v>1554</v>
      </c>
      <c r="E144" s="11" t="s">
        <v>1490</v>
      </c>
      <c r="F144" s="11" t="s">
        <v>836</v>
      </c>
      <c r="G144" s="11" t="s">
        <v>835</v>
      </c>
      <c r="H144" s="11" t="s">
        <v>836</v>
      </c>
      <c r="I144" s="11" t="s">
        <v>1384</v>
      </c>
      <c r="J144" s="11" t="s">
        <v>1250</v>
      </c>
      <c r="K144" s="19" t="n">
        <v>1</v>
      </c>
      <c r="L144" s="11" t="s">
        <v>830</v>
      </c>
      <c r="M144" s="11" t="s">
        <v>828</v>
      </c>
      <c r="N144" s="12"/>
      <c r="O144" s="20" t="n">
        <v>46175</v>
      </c>
      <c r="P144" s="20"/>
      <c r="Q144" s="20" t="n">
        <v>46258</v>
      </c>
      <c r="R144" s="11" t="s">
        <v>1252</v>
      </c>
      <c r="S144" s="11" t="s">
        <v>1252</v>
      </c>
      <c r="T144" s="11" t="str">
        <f aca="false">IF(P144="","No deadline",IF(Q144&lt;&gt;"",IF(Q144&gt;P144,"Late","On time"),IF(README!$B$4&gt;P144,"Overdue","Open")))</f>
        <v>No deadline</v>
      </c>
      <c r="U144" s="11"/>
      <c r="V144" s="11"/>
      <c r="W144" s="11"/>
      <c r="X144" s="11"/>
      <c r="Y144" s="11" t="str">
        <f aca="false">IF(AND(S144="Completed",P144&lt;&gt;"",Q144&lt;&gt;""),IF(AND(T144="Late",X144="Yes",W144="Yes"),"Excluded (validated delay)","Yes"),"No")</f>
        <v>No</v>
      </c>
      <c r="Z144" s="13" t="s">
        <v>1537</v>
      </c>
    </row>
    <row r="145" customFormat="false" ht="15" hidden="false" customHeight="true" outlineLevel="0" collapsed="false">
      <c r="A145" s="11" t="n">
        <v>93</v>
      </c>
      <c r="B145" s="11" t="s">
        <v>1552</v>
      </c>
      <c r="C145" s="11" t="s">
        <v>1553</v>
      </c>
      <c r="D145" s="11" t="s">
        <v>1555</v>
      </c>
      <c r="E145" s="11" t="s">
        <v>1493</v>
      </c>
      <c r="F145" s="11" t="s">
        <v>836</v>
      </c>
      <c r="G145" s="11" t="s">
        <v>835</v>
      </c>
      <c r="H145" s="11" t="s">
        <v>836</v>
      </c>
      <c r="I145" s="11" t="s">
        <v>1384</v>
      </c>
      <c r="J145" s="11" t="s">
        <v>1250</v>
      </c>
      <c r="K145" s="19" t="n">
        <v>1</v>
      </c>
      <c r="L145" s="11" t="s">
        <v>830</v>
      </c>
      <c r="M145" s="11" t="s">
        <v>828</v>
      </c>
      <c r="N145" s="12"/>
      <c r="O145" s="20" t="n">
        <v>46175</v>
      </c>
      <c r="P145" s="20"/>
      <c r="Q145" s="20" t="n">
        <v>46258</v>
      </c>
      <c r="R145" s="11" t="s">
        <v>1252</v>
      </c>
      <c r="S145" s="11" t="s">
        <v>1252</v>
      </c>
      <c r="T145" s="11" t="str">
        <f aca="false">IF(P145="","No deadline",IF(Q145&lt;&gt;"",IF(Q145&gt;P145,"Late","On time"),IF(README!$B$4&gt;P145,"Overdue","Open")))</f>
        <v>No deadline</v>
      </c>
      <c r="U145" s="11"/>
      <c r="V145" s="11"/>
      <c r="W145" s="11"/>
      <c r="X145" s="11"/>
      <c r="Y145" s="11" t="str">
        <f aca="false">IF(AND(S145="Completed",P145&lt;&gt;"",Q145&lt;&gt;""),IF(AND(T145="Late",X145="Yes",W145="Yes"),"Excluded (validated delay)","Yes"),"No")</f>
        <v>No</v>
      </c>
      <c r="Z145" s="13" t="s">
        <v>1537</v>
      </c>
    </row>
    <row r="146" customFormat="false" ht="15" hidden="false" customHeight="true" outlineLevel="0" collapsed="false">
      <c r="A146" s="11" t="n">
        <v>94</v>
      </c>
      <c r="B146" s="11" t="s">
        <v>1552</v>
      </c>
      <c r="C146" s="11" t="s">
        <v>1553</v>
      </c>
      <c r="D146" s="11" t="s">
        <v>1556</v>
      </c>
      <c r="E146" s="11" t="s">
        <v>1495</v>
      </c>
      <c r="F146" s="11" t="s">
        <v>836</v>
      </c>
      <c r="G146" s="11" t="s">
        <v>835</v>
      </c>
      <c r="H146" s="11" t="s">
        <v>836</v>
      </c>
      <c r="I146" s="11" t="s">
        <v>1384</v>
      </c>
      <c r="J146" s="11" t="s">
        <v>1250</v>
      </c>
      <c r="K146" s="19" t="n">
        <v>1</v>
      </c>
      <c r="L146" s="11" t="s">
        <v>830</v>
      </c>
      <c r="M146" s="11" t="s">
        <v>828</v>
      </c>
      <c r="N146" s="12"/>
      <c r="O146" s="20" t="n">
        <v>46175</v>
      </c>
      <c r="P146" s="20"/>
      <c r="Q146" s="20" t="n">
        <v>46258</v>
      </c>
      <c r="R146" s="11" t="s">
        <v>1252</v>
      </c>
      <c r="S146" s="11" t="s">
        <v>1252</v>
      </c>
      <c r="T146" s="11" t="str">
        <f aca="false">IF(P146="","No deadline",IF(Q146&lt;&gt;"",IF(Q146&gt;P146,"Late","On time"),IF(README!$B$4&gt;P146,"Overdue","Open")))</f>
        <v>No deadline</v>
      </c>
      <c r="U146" s="11"/>
      <c r="V146" s="11"/>
      <c r="W146" s="11"/>
      <c r="X146" s="11"/>
      <c r="Y146" s="11" t="str">
        <f aca="false">IF(AND(S146="Completed",P146&lt;&gt;"",Q146&lt;&gt;""),IF(AND(T146="Late",X146="Yes",W146="Yes"),"Excluded (validated delay)","Yes"),"No")</f>
        <v>No</v>
      </c>
      <c r="Z146" s="13" t="s">
        <v>1537</v>
      </c>
    </row>
    <row r="147" customFormat="false" ht="15" hidden="false" customHeight="true" outlineLevel="0" collapsed="false">
      <c r="A147" s="11" t="n">
        <v>95</v>
      </c>
      <c r="B147" s="11" t="s">
        <v>1557</v>
      </c>
      <c r="C147" s="11" t="s">
        <v>1558</v>
      </c>
      <c r="D147" s="11" t="s">
        <v>1559</v>
      </c>
      <c r="E147" s="11" t="s">
        <v>1490</v>
      </c>
      <c r="F147" s="11" t="s">
        <v>836</v>
      </c>
      <c r="G147" s="11" t="s">
        <v>835</v>
      </c>
      <c r="H147" s="11" t="s">
        <v>836</v>
      </c>
      <c r="I147" s="11" t="s">
        <v>1384</v>
      </c>
      <c r="J147" s="11" t="s">
        <v>1250</v>
      </c>
      <c r="K147" s="19" t="n">
        <v>1</v>
      </c>
      <c r="L147" s="11" t="s">
        <v>830</v>
      </c>
      <c r="M147" s="11" t="s">
        <v>828</v>
      </c>
      <c r="N147" s="12"/>
      <c r="O147" s="20" t="n">
        <v>46175</v>
      </c>
      <c r="P147" s="20"/>
      <c r="Q147" s="20"/>
      <c r="R147" s="11" t="s">
        <v>1308</v>
      </c>
      <c r="S147" s="11" t="s">
        <v>1309</v>
      </c>
      <c r="T147" s="11" t="str">
        <f aca="false">IF(P147="","No deadline",IF(Q147&lt;&gt;"",IF(Q147&gt;P147,"Late","On time"),IF(README!$B$4&gt;P147,"Overdue","Open")))</f>
        <v>No deadline</v>
      </c>
      <c r="U147" s="11"/>
      <c r="V147" s="11"/>
      <c r="W147" s="11"/>
      <c r="X147" s="11"/>
      <c r="Y147" s="11" t="str">
        <f aca="false">IF(AND(S147="Completed",P147&lt;&gt;"",Q147&lt;&gt;""),IF(AND(T147="Late",X147="Yes",W147="Yes"),"Excluded (validated delay)","Yes"),"No")</f>
        <v>No</v>
      </c>
      <c r="Z147" s="13" t="s">
        <v>1537</v>
      </c>
    </row>
    <row r="148" customFormat="false" ht="15" hidden="false" customHeight="true" outlineLevel="0" collapsed="false">
      <c r="A148" s="11" t="n">
        <v>96</v>
      </c>
      <c r="B148" s="11" t="s">
        <v>1557</v>
      </c>
      <c r="C148" s="11" t="s">
        <v>1558</v>
      </c>
      <c r="D148" s="11" t="s">
        <v>1560</v>
      </c>
      <c r="E148" s="11" t="s">
        <v>1493</v>
      </c>
      <c r="F148" s="11" t="s">
        <v>836</v>
      </c>
      <c r="G148" s="11" t="s">
        <v>835</v>
      </c>
      <c r="H148" s="11" t="s">
        <v>836</v>
      </c>
      <c r="I148" s="11" t="s">
        <v>1384</v>
      </c>
      <c r="J148" s="11" t="s">
        <v>1250</v>
      </c>
      <c r="K148" s="19" t="n">
        <v>1</v>
      </c>
      <c r="L148" s="11" t="s">
        <v>830</v>
      </c>
      <c r="M148" s="11" t="s">
        <v>828</v>
      </c>
      <c r="N148" s="12"/>
      <c r="O148" s="20" t="n">
        <v>46175</v>
      </c>
      <c r="P148" s="20"/>
      <c r="Q148" s="20"/>
      <c r="R148" s="11" t="s">
        <v>1308</v>
      </c>
      <c r="S148" s="11" t="s">
        <v>1309</v>
      </c>
      <c r="T148" s="11" t="str">
        <f aca="false">IF(P148="","No deadline",IF(Q148&lt;&gt;"",IF(Q148&gt;P148,"Late","On time"),IF(README!$B$4&gt;P148,"Overdue","Open")))</f>
        <v>No deadline</v>
      </c>
      <c r="U148" s="11"/>
      <c r="V148" s="11"/>
      <c r="W148" s="11"/>
      <c r="X148" s="11"/>
      <c r="Y148" s="11" t="str">
        <f aca="false">IF(AND(S148="Completed",P148&lt;&gt;"",Q148&lt;&gt;""),IF(AND(T148="Late",X148="Yes",W148="Yes"),"Excluded (validated delay)","Yes"),"No")</f>
        <v>No</v>
      </c>
      <c r="Z148" s="13" t="s">
        <v>1537</v>
      </c>
    </row>
    <row r="149" customFormat="false" ht="15" hidden="false" customHeight="true" outlineLevel="0" collapsed="false">
      <c r="A149" s="11" t="n">
        <v>97</v>
      </c>
      <c r="B149" s="11" t="s">
        <v>1557</v>
      </c>
      <c r="C149" s="11" t="s">
        <v>1558</v>
      </c>
      <c r="D149" s="11" t="s">
        <v>1561</v>
      </c>
      <c r="E149" s="11" t="s">
        <v>1495</v>
      </c>
      <c r="F149" s="11" t="s">
        <v>836</v>
      </c>
      <c r="G149" s="11" t="s">
        <v>835</v>
      </c>
      <c r="H149" s="11" t="s">
        <v>836</v>
      </c>
      <c r="I149" s="11" t="s">
        <v>1384</v>
      </c>
      <c r="J149" s="11" t="s">
        <v>1250</v>
      </c>
      <c r="K149" s="19" t="n">
        <v>1</v>
      </c>
      <c r="L149" s="11" t="s">
        <v>830</v>
      </c>
      <c r="M149" s="11" t="s">
        <v>828</v>
      </c>
      <c r="N149" s="12"/>
      <c r="O149" s="20" t="n">
        <v>46175</v>
      </c>
      <c r="P149" s="20"/>
      <c r="Q149" s="20"/>
      <c r="R149" s="11" t="s">
        <v>1308</v>
      </c>
      <c r="S149" s="11" t="s">
        <v>1309</v>
      </c>
      <c r="T149" s="11" t="str">
        <f aca="false">IF(P149="","No deadline",IF(Q149&lt;&gt;"",IF(Q149&gt;P149,"Late","On time"),IF(README!$B$4&gt;P149,"Overdue","Open")))</f>
        <v>No deadline</v>
      </c>
      <c r="U149" s="11"/>
      <c r="V149" s="11"/>
      <c r="W149" s="11"/>
      <c r="X149" s="11"/>
      <c r="Y149" s="11" t="str">
        <f aca="false">IF(AND(S149="Completed",P149&lt;&gt;"",Q149&lt;&gt;""),IF(AND(T149="Late",X149="Yes",W149="Yes"),"Excluded (validated delay)","Yes"),"No")</f>
        <v>No</v>
      </c>
      <c r="Z149" s="13" t="s">
        <v>1537</v>
      </c>
    </row>
    <row r="150" customFormat="false" ht="15" hidden="false" customHeight="true" outlineLevel="0" collapsed="false">
      <c r="A150" s="11" t="n">
        <v>98</v>
      </c>
      <c r="B150" s="11" t="s">
        <v>1562</v>
      </c>
      <c r="C150" s="11" t="s">
        <v>1563</v>
      </c>
      <c r="D150" s="11" t="s">
        <v>1564</v>
      </c>
      <c r="E150" s="11" t="s">
        <v>1490</v>
      </c>
      <c r="F150" s="11" t="s">
        <v>836</v>
      </c>
      <c r="G150" s="11" t="s">
        <v>835</v>
      </c>
      <c r="H150" s="11" t="s">
        <v>836</v>
      </c>
      <c r="I150" s="11" t="s">
        <v>1384</v>
      </c>
      <c r="J150" s="11" t="s">
        <v>1250</v>
      </c>
      <c r="K150" s="19" t="n">
        <v>1</v>
      </c>
      <c r="L150" s="11" t="s">
        <v>830</v>
      </c>
      <c r="M150" s="11" t="s">
        <v>828</v>
      </c>
      <c r="N150" s="12"/>
      <c r="O150" s="20" t="n">
        <v>46183</v>
      </c>
      <c r="P150" s="20"/>
      <c r="Q150" s="20"/>
      <c r="R150" s="11" t="s">
        <v>1308</v>
      </c>
      <c r="S150" s="11" t="s">
        <v>1309</v>
      </c>
      <c r="T150" s="11" t="str">
        <f aca="false">IF(P150="","No deadline",IF(Q150&lt;&gt;"",IF(Q150&gt;P150,"Late","On time"),IF(README!$B$4&gt;P150,"Overdue","Open")))</f>
        <v>No deadline</v>
      </c>
      <c r="U150" s="11" t="s">
        <v>1528</v>
      </c>
      <c r="V150" s="11" t="s">
        <v>1565</v>
      </c>
      <c r="W150" s="11"/>
      <c r="X150" s="11" t="s">
        <v>1278</v>
      </c>
      <c r="Y150" s="11" t="str">
        <f aca="false">IF(AND(S150="Completed",P150&lt;&gt;"",Q150&lt;&gt;""),IF(AND(T150="Late",X150="Yes",W150="Yes"),"Excluded (validated delay)","Yes"),"No")</f>
        <v>No</v>
      </c>
      <c r="Z150" s="13" t="s">
        <v>1537</v>
      </c>
    </row>
    <row r="151" customFormat="false" ht="15" hidden="false" customHeight="true" outlineLevel="0" collapsed="false">
      <c r="A151" s="11" t="n">
        <v>99</v>
      </c>
      <c r="B151" s="11" t="s">
        <v>1562</v>
      </c>
      <c r="C151" s="11" t="s">
        <v>1563</v>
      </c>
      <c r="D151" s="11" t="s">
        <v>1566</v>
      </c>
      <c r="E151" s="11" t="s">
        <v>1493</v>
      </c>
      <c r="F151" s="11" t="s">
        <v>836</v>
      </c>
      <c r="G151" s="11" t="s">
        <v>835</v>
      </c>
      <c r="H151" s="11" t="s">
        <v>836</v>
      </c>
      <c r="I151" s="11" t="s">
        <v>1384</v>
      </c>
      <c r="J151" s="11" t="s">
        <v>1250</v>
      </c>
      <c r="K151" s="19" t="n">
        <v>1</v>
      </c>
      <c r="L151" s="11" t="s">
        <v>830</v>
      </c>
      <c r="M151" s="11" t="s">
        <v>828</v>
      </c>
      <c r="N151" s="12"/>
      <c r="O151" s="20" t="n">
        <v>46183</v>
      </c>
      <c r="P151" s="20"/>
      <c r="Q151" s="20"/>
      <c r="R151" s="11" t="s">
        <v>1308</v>
      </c>
      <c r="S151" s="11" t="s">
        <v>1309</v>
      </c>
      <c r="T151" s="11" t="str">
        <f aca="false">IF(P151="","No deadline",IF(Q151&lt;&gt;"",IF(Q151&gt;P151,"Late","On time"),IF(README!$B$4&gt;P151,"Overdue","Open")))</f>
        <v>No deadline</v>
      </c>
      <c r="U151" s="11" t="s">
        <v>1528</v>
      </c>
      <c r="V151" s="11" t="s">
        <v>1565</v>
      </c>
      <c r="W151" s="11"/>
      <c r="X151" s="11" t="s">
        <v>1278</v>
      </c>
      <c r="Y151" s="11" t="str">
        <f aca="false">IF(AND(S151="Completed",P151&lt;&gt;"",Q151&lt;&gt;""),IF(AND(T151="Late",X151="Yes",W151="Yes"),"Excluded (validated delay)","Yes"),"No")</f>
        <v>No</v>
      </c>
      <c r="Z151" s="13" t="s">
        <v>1537</v>
      </c>
    </row>
    <row r="152" customFormat="false" ht="15" hidden="false" customHeight="true" outlineLevel="0" collapsed="false">
      <c r="A152" s="11" t="n">
        <v>100</v>
      </c>
      <c r="B152" s="11" t="s">
        <v>1562</v>
      </c>
      <c r="C152" s="11" t="s">
        <v>1563</v>
      </c>
      <c r="D152" s="11" t="s">
        <v>1567</v>
      </c>
      <c r="E152" s="11" t="s">
        <v>1495</v>
      </c>
      <c r="F152" s="11" t="s">
        <v>836</v>
      </c>
      <c r="G152" s="11" t="s">
        <v>835</v>
      </c>
      <c r="H152" s="11" t="s">
        <v>836</v>
      </c>
      <c r="I152" s="11" t="s">
        <v>1384</v>
      </c>
      <c r="J152" s="11" t="s">
        <v>1250</v>
      </c>
      <c r="K152" s="19" t="n">
        <v>1</v>
      </c>
      <c r="L152" s="11" t="s">
        <v>830</v>
      </c>
      <c r="M152" s="11" t="s">
        <v>828</v>
      </c>
      <c r="N152" s="12"/>
      <c r="O152" s="20" t="n">
        <v>46183</v>
      </c>
      <c r="P152" s="20"/>
      <c r="Q152" s="20"/>
      <c r="R152" s="11" t="s">
        <v>1308</v>
      </c>
      <c r="S152" s="11" t="s">
        <v>1309</v>
      </c>
      <c r="T152" s="11" t="str">
        <f aca="false">IF(P152="","No deadline",IF(Q152&lt;&gt;"",IF(Q152&gt;P152,"Late","On time"),IF(README!$B$4&gt;P152,"Overdue","Open")))</f>
        <v>No deadline</v>
      </c>
      <c r="U152" s="11" t="s">
        <v>1528</v>
      </c>
      <c r="V152" s="11" t="s">
        <v>1565</v>
      </c>
      <c r="W152" s="11"/>
      <c r="X152" s="11" t="s">
        <v>1278</v>
      </c>
      <c r="Y152" s="11" t="str">
        <f aca="false">IF(AND(S152="Completed",P152&lt;&gt;"",Q152&lt;&gt;""),IF(AND(T152="Late",X152="Yes",W152="Yes"),"Excluded (validated delay)","Yes"),"No")</f>
        <v>No</v>
      </c>
      <c r="Z152" s="13" t="s">
        <v>1537</v>
      </c>
    </row>
    <row r="153" customFormat="false" ht="23.25" hidden="false" customHeight="true" outlineLevel="0" collapsed="false">
      <c r="A153" s="11" t="n">
        <v>101</v>
      </c>
      <c r="B153" s="11" t="s">
        <v>1568</v>
      </c>
      <c r="C153" s="11" t="s">
        <v>1569</v>
      </c>
      <c r="D153" s="11" t="s">
        <v>1570</v>
      </c>
      <c r="E153" s="11" t="s">
        <v>1490</v>
      </c>
      <c r="F153" s="11" t="s">
        <v>833</v>
      </c>
      <c r="G153" s="11" t="s">
        <v>832</v>
      </c>
      <c r="H153" s="11" t="s">
        <v>833</v>
      </c>
      <c r="I153" s="11" t="s">
        <v>1384</v>
      </c>
      <c r="J153" s="11" t="s">
        <v>1395</v>
      </c>
      <c r="K153" s="19" t="n">
        <v>0.5</v>
      </c>
      <c r="L153" s="11" t="s">
        <v>830</v>
      </c>
      <c r="M153" s="11" t="s">
        <v>828</v>
      </c>
      <c r="N153" s="12"/>
      <c r="O153" s="20" t="n">
        <v>46190</v>
      </c>
      <c r="P153" s="20"/>
      <c r="Q153" s="20"/>
      <c r="R153" s="11" t="s">
        <v>1464</v>
      </c>
      <c r="S153" s="11" t="s">
        <v>1464</v>
      </c>
      <c r="T153" s="11" t="str">
        <f aca="false">IF(P153="","No deadline",IF(Q153&lt;&gt;"",IF(Q153&gt;P153,"Late","On time"),IF(README!$B$4&gt;P153,"Overdue","Open")))</f>
        <v>No deadline</v>
      </c>
      <c r="U153" s="11" t="s">
        <v>1571</v>
      </c>
      <c r="V153" s="11" t="s">
        <v>1572</v>
      </c>
      <c r="W153" s="11"/>
      <c r="X153" s="11" t="s">
        <v>1278</v>
      </c>
      <c r="Y153" s="11" t="str">
        <f aca="false">IF(AND(S153="Completed",P153&lt;&gt;"",Q153&lt;&gt;""),IF(AND(T153="Late",X153="Yes",W153="Yes"),"Excluded (validated delay)","Yes"),"No")</f>
        <v>No</v>
      </c>
      <c r="Z153" s="13" t="s">
        <v>1449</v>
      </c>
    </row>
    <row r="154" customFormat="false" ht="23.25" hidden="false" customHeight="true" outlineLevel="0" collapsed="false">
      <c r="A154" s="11" t="n">
        <v>101</v>
      </c>
      <c r="B154" s="11" t="s">
        <v>1568</v>
      </c>
      <c r="C154" s="11" t="s">
        <v>1569</v>
      </c>
      <c r="D154" s="11" t="s">
        <v>1570</v>
      </c>
      <c r="E154" s="11" t="s">
        <v>1490</v>
      </c>
      <c r="F154" s="11" t="s">
        <v>836</v>
      </c>
      <c r="G154" s="11" t="s">
        <v>835</v>
      </c>
      <c r="H154" s="11" t="s">
        <v>836</v>
      </c>
      <c r="I154" s="11" t="s">
        <v>1384</v>
      </c>
      <c r="J154" s="11" t="s">
        <v>1395</v>
      </c>
      <c r="K154" s="19" t="n">
        <v>0.5</v>
      </c>
      <c r="L154" s="11" t="s">
        <v>830</v>
      </c>
      <c r="M154" s="11" t="s">
        <v>828</v>
      </c>
      <c r="N154" s="12"/>
      <c r="O154" s="20" t="n">
        <v>46190</v>
      </c>
      <c r="P154" s="20"/>
      <c r="Q154" s="20"/>
      <c r="R154" s="11" t="s">
        <v>1464</v>
      </c>
      <c r="S154" s="11" t="s">
        <v>1464</v>
      </c>
      <c r="T154" s="11" t="str">
        <f aca="false">IF(P154="","No deadline",IF(Q154&lt;&gt;"",IF(Q154&gt;P154,"Late","On time"),IF(README!$B$4&gt;P154,"Overdue","Open")))</f>
        <v>No deadline</v>
      </c>
      <c r="U154" s="11" t="s">
        <v>1571</v>
      </c>
      <c r="V154" s="11" t="s">
        <v>1572</v>
      </c>
      <c r="W154" s="11"/>
      <c r="X154" s="11" t="s">
        <v>1278</v>
      </c>
      <c r="Y154" s="11" t="str">
        <f aca="false">IF(AND(S154="Completed",P154&lt;&gt;"",Q154&lt;&gt;""),IF(AND(T154="Late",X154="Yes",W154="Yes"),"Excluded (validated delay)","Yes"),"No")</f>
        <v>No</v>
      </c>
      <c r="Z154" s="13" t="s">
        <v>1449</v>
      </c>
    </row>
    <row r="155" customFormat="false" ht="23.25" hidden="false" customHeight="true" outlineLevel="0" collapsed="false">
      <c r="A155" s="11" t="n">
        <v>102</v>
      </c>
      <c r="B155" s="11" t="s">
        <v>1568</v>
      </c>
      <c r="C155" s="11" t="s">
        <v>1569</v>
      </c>
      <c r="D155" s="11" t="s">
        <v>1573</v>
      </c>
      <c r="E155" s="11" t="s">
        <v>1493</v>
      </c>
      <c r="F155" s="11" t="s">
        <v>833</v>
      </c>
      <c r="G155" s="11" t="s">
        <v>832</v>
      </c>
      <c r="H155" s="11" t="s">
        <v>833</v>
      </c>
      <c r="I155" s="11" t="s">
        <v>1384</v>
      </c>
      <c r="J155" s="11" t="s">
        <v>1395</v>
      </c>
      <c r="K155" s="19" t="n">
        <v>0.5</v>
      </c>
      <c r="L155" s="11" t="s">
        <v>830</v>
      </c>
      <c r="M155" s="11" t="s">
        <v>828</v>
      </c>
      <c r="N155" s="12"/>
      <c r="O155" s="20" t="n">
        <v>46190</v>
      </c>
      <c r="P155" s="20"/>
      <c r="Q155" s="20"/>
      <c r="R155" s="11" t="s">
        <v>1464</v>
      </c>
      <c r="S155" s="11" t="s">
        <v>1464</v>
      </c>
      <c r="T155" s="11" t="str">
        <f aca="false">IF(P155="","No deadline",IF(Q155&lt;&gt;"",IF(Q155&gt;P155,"Late","On time"),IF(README!$B$4&gt;P155,"Overdue","Open")))</f>
        <v>No deadline</v>
      </c>
      <c r="U155" s="11" t="s">
        <v>1571</v>
      </c>
      <c r="V155" s="11" t="s">
        <v>1572</v>
      </c>
      <c r="W155" s="11"/>
      <c r="X155" s="11" t="s">
        <v>1278</v>
      </c>
      <c r="Y155" s="11" t="str">
        <f aca="false">IF(AND(S155="Completed",P155&lt;&gt;"",Q155&lt;&gt;""),IF(AND(T155="Late",X155="Yes",W155="Yes"),"Excluded (validated delay)","Yes"),"No")</f>
        <v>No</v>
      </c>
      <c r="Z155" s="13" t="s">
        <v>1449</v>
      </c>
    </row>
    <row r="156" customFormat="false" ht="23.25" hidden="false" customHeight="true" outlineLevel="0" collapsed="false">
      <c r="A156" s="11" t="n">
        <v>102</v>
      </c>
      <c r="B156" s="11" t="s">
        <v>1568</v>
      </c>
      <c r="C156" s="11" t="s">
        <v>1569</v>
      </c>
      <c r="D156" s="11" t="s">
        <v>1573</v>
      </c>
      <c r="E156" s="11" t="s">
        <v>1493</v>
      </c>
      <c r="F156" s="11" t="s">
        <v>836</v>
      </c>
      <c r="G156" s="11" t="s">
        <v>835</v>
      </c>
      <c r="H156" s="11" t="s">
        <v>836</v>
      </c>
      <c r="I156" s="11" t="s">
        <v>1384</v>
      </c>
      <c r="J156" s="11" t="s">
        <v>1395</v>
      </c>
      <c r="K156" s="19" t="n">
        <v>0.5</v>
      </c>
      <c r="L156" s="11" t="s">
        <v>830</v>
      </c>
      <c r="M156" s="11" t="s">
        <v>828</v>
      </c>
      <c r="N156" s="12"/>
      <c r="O156" s="20" t="n">
        <v>46190</v>
      </c>
      <c r="P156" s="20"/>
      <c r="Q156" s="20"/>
      <c r="R156" s="11" t="s">
        <v>1464</v>
      </c>
      <c r="S156" s="11" t="s">
        <v>1464</v>
      </c>
      <c r="T156" s="11" t="str">
        <f aca="false">IF(P156="","No deadline",IF(Q156&lt;&gt;"",IF(Q156&gt;P156,"Late","On time"),IF(README!$B$4&gt;P156,"Overdue","Open")))</f>
        <v>No deadline</v>
      </c>
      <c r="U156" s="11" t="s">
        <v>1571</v>
      </c>
      <c r="V156" s="11" t="s">
        <v>1572</v>
      </c>
      <c r="W156" s="11"/>
      <c r="X156" s="11" t="s">
        <v>1278</v>
      </c>
      <c r="Y156" s="11" t="str">
        <f aca="false">IF(AND(S156="Completed",P156&lt;&gt;"",Q156&lt;&gt;""),IF(AND(T156="Late",X156="Yes",W156="Yes"),"Excluded (validated delay)","Yes"),"No")</f>
        <v>No</v>
      </c>
      <c r="Z156" s="13" t="s">
        <v>1449</v>
      </c>
    </row>
    <row r="157" customFormat="false" ht="23.25" hidden="false" customHeight="true" outlineLevel="0" collapsed="false">
      <c r="A157" s="11" t="n">
        <v>103</v>
      </c>
      <c r="B157" s="11" t="s">
        <v>1568</v>
      </c>
      <c r="C157" s="11" t="s">
        <v>1569</v>
      </c>
      <c r="D157" s="11" t="s">
        <v>1574</v>
      </c>
      <c r="E157" s="11" t="s">
        <v>1495</v>
      </c>
      <c r="F157" s="11" t="s">
        <v>833</v>
      </c>
      <c r="G157" s="11" t="s">
        <v>832</v>
      </c>
      <c r="H157" s="11" t="s">
        <v>833</v>
      </c>
      <c r="I157" s="11" t="s">
        <v>1384</v>
      </c>
      <c r="J157" s="11" t="s">
        <v>1395</v>
      </c>
      <c r="K157" s="19" t="n">
        <v>0.5</v>
      </c>
      <c r="L157" s="11" t="s">
        <v>830</v>
      </c>
      <c r="M157" s="11" t="s">
        <v>828</v>
      </c>
      <c r="N157" s="12"/>
      <c r="O157" s="20" t="n">
        <v>46190</v>
      </c>
      <c r="P157" s="20"/>
      <c r="Q157" s="20"/>
      <c r="R157" s="11" t="s">
        <v>1464</v>
      </c>
      <c r="S157" s="11" t="s">
        <v>1464</v>
      </c>
      <c r="T157" s="11" t="str">
        <f aca="false">IF(P157="","No deadline",IF(Q157&lt;&gt;"",IF(Q157&gt;P157,"Late","On time"),IF(README!$B$4&gt;P157,"Overdue","Open")))</f>
        <v>No deadline</v>
      </c>
      <c r="U157" s="11" t="s">
        <v>1571</v>
      </c>
      <c r="V157" s="11" t="s">
        <v>1572</v>
      </c>
      <c r="W157" s="11"/>
      <c r="X157" s="11" t="s">
        <v>1278</v>
      </c>
      <c r="Y157" s="11" t="str">
        <f aca="false">IF(AND(S157="Completed",P157&lt;&gt;"",Q157&lt;&gt;""),IF(AND(T157="Late",X157="Yes",W157="Yes"),"Excluded (validated delay)","Yes"),"No")</f>
        <v>No</v>
      </c>
      <c r="Z157" s="13" t="s">
        <v>1449</v>
      </c>
    </row>
    <row r="158" customFormat="false" ht="23.25" hidden="false" customHeight="true" outlineLevel="0" collapsed="false">
      <c r="A158" s="11" t="n">
        <v>103</v>
      </c>
      <c r="B158" s="11" t="s">
        <v>1568</v>
      </c>
      <c r="C158" s="11" t="s">
        <v>1569</v>
      </c>
      <c r="D158" s="11" t="s">
        <v>1574</v>
      </c>
      <c r="E158" s="11" t="s">
        <v>1495</v>
      </c>
      <c r="F158" s="11" t="s">
        <v>836</v>
      </c>
      <c r="G158" s="11" t="s">
        <v>835</v>
      </c>
      <c r="H158" s="11" t="s">
        <v>836</v>
      </c>
      <c r="I158" s="11" t="s">
        <v>1384</v>
      </c>
      <c r="J158" s="11" t="s">
        <v>1395</v>
      </c>
      <c r="K158" s="19" t="n">
        <v>0.5</v>
      </c>
      <c r="L158" s="11" t="s">
        <v>830</v>
      </c>
      <c r="M158" s="11" t="s">
        <v>828</v>
      </c>
      <c r="N158" s="12"/>
      <c r="O158" s="20" t="n">
        <v>46190</v>
      </c>
      <c r="P158" s="20"/>
      <c r="Q158" s="20"/>
      <c r="R158" s="11" t="s">
        <v>1464</v>
      </c>
      <c r="S158" s="11" t="s">
        <v>1464</v>
      </c>
      <c r="T158" s="11" t="str">
        <f aca="false">IF(P158="","No deadline",IF(Q158&lt;&gt;"",IF(Q158&gt;P158,"Late","On time"),IF(README!$B$4&gt;P158,"Overdue","Open")))</f>
        <v>No deadline</v>
      </c>
      <c r="U158" s="11" t="s">
        <v>1571</v>
      </c>
      <c r="V158" s="11" t="s">
        <v>1572</v>
      </c>
      <c r="W158" s="11"/>
      <c r="X158" s="11" t="s">
        <v>1278</v>
      </c>
      <c r="Y158" s="11" t="str">
        <f aca="false">IF(AND(S158="Completed",P158&lt;&gt;"",Q158&lt;&gt;""),IF(AND(T158="Late",X158="Yes",W158="Yes"),"Excluded (validated delay)","Yes"),"No")</f>
        <v>No</v>
      </c>
      <c r="Z158" s="13" t="s">
        <v>1449</v>
      </c>
    </row>
    <row r="159" customFormat="false" ht="23.25" hidden="false" customHeight="true" outlineLevel="0" collapsed="false">
      <c r="A159" s="11" t="n">
        <v>104</v>
      </c>
      <c r="B159" s="11" t="s">
        <v>1575</v>
      </c>
      <c r="C159" s="11" t="s">
        <v>1576</v>
      </c>
      <c r="D159" s="11" t="s">
        <v>1577</v>
      </c>
      <c r="E159" s="11" t="s">
        <v>1490</v>
      </c>
      <c r="F159" s="11" t="s">
        <v>836</v>
      </c>
      <c r="G159" s="11" t="s">
        <v>835</v>
      </c>
      <c r="H159" s="11" t="s">
        <v>836</v>
      </c>
      <c r="I159" s="11" t="s">
        <v>1384</v>
      </c>
      <c r="J159" s="11" t="s">
        <v>1250</v>
      </c>
      <c r="K159" s="19" t="n">
        <v>1</v>
      </c>
      <c r="L159" s="11" t="s">
        <v>830</v>
      </c>
      <c r="M159" s="11" t="s">
        <v>828</v>
      </c>
      <c r="N159" s="12"/>
      <c r="O159" s="20" t="n">
        <v>46202</v>
      </c>
      <c r="P159" s="20"/>
      <c r="Q159" s="20" t="n">
        <v>46269</v>
      </c>
      <c r="R159" s="11" t="s">
        <v>1308</v>
      </c>
      <c r="S159" s="11" t="s">
        <v>1309</v>
      </c>
      <c r="T159" s="11" t="str">
        <f aca="false">IF(P159="","No deadline",IF(Q159&lt;&gt;"",IF(Q159&gt;P159,"Late","On time"),IF(README!$B$4&gt;P159,"Overdue","Open")))</f>
        <v>No deadline</v>
      </c>
      <c r="U159" s="11"/>
      <c r="V159" s="11"/>
      <c r="W159" s="11"/>
      <c r="X159" s="11"/>
      <c r="Y159" s="11" t="str">
        <f aca="false">IF(AND(S159="Completed",P159&lt;&gt;"",Q159&lt;&gt;""),IF(AND(T159="Late",X159="Yes",W159="Yes"),"Excluded (validated delay)","Yes"),"No")</f>
        <v>No</v>
      </c>
      <c r="Z159" s="13" t="s">
        <v>1578</v>
      </c>
    </row>
    <row r="160" customFormat="false" ht="23.25" hidden="false" customHeight="true" outlineLevel="0" collapsed="false">
      <c r="A160" s="11" t="n">
        <v>105</v>
      </c>
      <c r="B160" s="11" t="s">
        <v>1575</v>
      </c>
      <c r="C160" s="11" t="s">
        <v>1576</v>
      </c>
      <c r="D160" s="11" t="s">
        <v>1579</v>
      </c>
      <c r="E160" s="11" t="s">
        <v>1493</v>
      </c>
      <c r="F160" s="11" t="s">
        <v>836</v>
      </c>
      <c r="G160" s="11" t="s">
        <v>835</v>
      </c>
      <c r="H160" s="11" t="s">
        <v>836</v>
      </c>
      <c r="I160" s="11" t="s">
        <v>1384</v>
      </c>
      <c r="J160" s="11" t="s">
        <v>1250</v>
      </c>
      <c r="K160" s="19" t="n">
        <v>1</v>
      </c>
      <c r="L160" s="11" t="s">
        <v>830</v>
      </c>
      <c r="M160" s="11" t="s">
        <v>828</v>
      </c>
      <c r="N160" s="12"/>
      <c r="O160" s="20" t="n">
        <v>46202</v>
      </c>
      <c r="P160" s="20"/>
      <c r="Q160" s="20" t="n">
        <v>46269</v>
      </c>
      <c r="R160" s="11" t="s">
        <v>1308</v>
      </c>
      <c r="S160" s="11" t="s">
        <v>1309</v>
      </c>
      <c r="T160" s="11" t="str">
        <f aca="false">IF(P160="","No deadline",IF(Q160&lt;&gt;"",IF(Q160&gt;P160,"Late","On time"),IF(README!$B$4&gt;P160,"Overdue","Open")))</f>
        <v>No deadline</v>
      </c>
      <c r="U160" s="11"/>
      <c r="V160" s="11"/>
      <c r="W160" s="11"/>
      <c r="X160" s="11"/>
      <c r="Y160" s="11" t="str">
        <f aca="false">IF(AND(S160="Completed",P160&lt;&gt;"",Q160&lt;&gt;""),IF(AND(T160="Late",X160="Yes",W160="Yes"),"Excluded (validated delay)","Yes"),"No")</f>
        <v>No</v>
      </c>
      <c r="Z160" s="13" t="s">
        <v>1578</v>
      </c>
    </row>
    <row r="161" customFormat="false" ht="23.25" hidden="false" customHeight="true" outlineLevel="0" collapsed="false">
      <c r="A161" s="11" t="n">
        <v>106</v>
      </c>
      <c r="B161" s="11" t="s">
        <v>1575</v>
      </c>
      <c r="C161" s="11" t="s">
        <v>1576</v>
      </c>
      <c r="D161" s="11" t="s">
        <v>1580</v>
      </c>
      <c r="E161" s="11" t="s">
        <v>1495</v>
      </c>
      <c r="F161" s="11" t="s">
        <v>836</v>
      </c>
      <c r="G161" s="11" t="s">
        <v>835</v>
      </c>
      <c r="H161" s="11" t="s">
        <v>836</v>
      </c>
      <c r="I161" s="11" t="s">
        <v>1384</v>
      </c>
      <c r="J161" s="11" t="s">
        <v>1250</v>
      </c>
      <c r="K161" s="19" t="n">
        <v>1</v>
      </c>
      <c r="L161" s="11" t="s">
        <v>830</v>
      </c>
      <c r="M161" s="11" t="s">
        <v>828</v>
      </c>
      <c r="N161" s="12"/>
      <c r="O161" s="20" t="n">
        <v>46202</v>
      </c>
      <c r="P161" s="20"/>
      <c r="Q161" s="20" t="n">
        <v>46269</v>
      </c>
      <c r="R161" s="11" t="s">
        <v>1308</v>
      </c>
      <c r="S161" s="11" t="s">
        <v>1309</v>
      </c>
      <c r="T161" s="11" t="str">
        <f aca="false">IF(P161="","No deadline",IF(Q161&lt;&gt;"",IF(Q161&gt;P161,"Late","On time"),IF(README!$B$4&gt;P161,"Overdue","Open")))</f>
        <v>No deadline</v>
      </c>
      <c r="U161" s="11"/>
      <c r="V161" s="11"/>
      <c r="W161" s="11"/>
      <c r="X161" s="11"/>
      <c r="Y161" s="11" t="str">
        <f aca="false">IF(AND(S161="Completed",P161&lt;&gt;"",Q161&lt;&gt;""),IF(AND(T161="Late",X161="Yes",W161="Yes"),"Excluded (validated delay)","Yes"),"No")</f>
        <v>No</v>
      </c>
      <c r="Z161" s="13" t="s">
        <v>1578</v>
      </c>
    </row>
    <row r="162" customFormat="false" ht="15" hidden="false" customHeight="true" outlineLevel="0" collapsed="false">
      <c r="A162" s="11" t="n">
        <v>107</v>
      </c>
      <c r="B162" s="11" t="s">
        <v>1581</v>
      </c>
      <c r="C162" s="11" t="s">
        <v>1582</v>
      </c>
      <c r="D162" s="11" t="s">
        <v>1583</v>
      </c>
      <c r="E162" s="11" t="s">
        <v>1490</v>
      </c>
      <c r="F162" s="11" t="s">
        <v>894</v>
      </c>
      <c r="G162" s="11" t="s">
        <v>893</v>
      </c>
      <c r="H162" s="11" t="s">
        <v>894</v>
      </c>
      <c r="I162" s="11" t="s">
        <v>1384</v>
      </c>
      <c r="J162" s="11" t="s">
        <v>1250</v>
      </c>
      <c r="K162" s="19" t="n">
        <v>1</v>
      </c>
      <c r="L162" s="11" t="s">
        <v>830</v>
      </c>
      <c r="M162" s="11" t="s">
        <v>828</v>
      </c>
      <c r="N162" s="12"/>
      <c r="O162" s="20" t="n">
        <v>46203</v>
      </c>
      <c r="P162" s="20"/>
      <c r="Q162" s="20"/>
      <c r="R162" s="11" t="s">
        <v>1308</v>
      </c>
      <c r="S162" s="11" t="s">
        <v>1309</v>
      </c>
      <c r="T162" s="11" t="str">
        <f aca="false">IF(P162="","No deadline",IF(Q162&lt;&gt;"",IF(Q162&gt;P162,"Late","On time"),IF(README!$B$4&gt;P162,"Overdue","Open")))</f>
        <v>No deadline</v>
      </c>
      <c r="U162" s="11"/>
      <c r="V162" s="11"/>
      <c r="W162" s="11"/>
      <c r="X162" s="11"/>
      <c r="Y162" s="11" t="str">
        <f aca="false">IF(AND(S162="Completed",P162&lt;&gt;"",Q162&lt;&gt;""),IF(AND(T162="Late",X162="Yes",W162="Yes"),"Excluded (validated delay)","Yes"),"No")</f>
        <v>No</v>
      </c>
      <c r="Z162" s="13" t="s">
        <v>1537</v>
      </c>
    </row>
    <row r="163" customFormat="false" ht="15" hidden="false" customHeight="true" outlineLevel="0" collapsed="false">
      <c r="A163" s="11" t="n">
        <v>108</v>
      </c>
      <c r="B163" s="11" t="s">
        <v>1581</v>
      </c>
      <c r="C163" s="11" t="s">
        <v>1582</v>
      </c>
      <c r="D163" s="11" t="s">
        <v>1584</v>
      </c>
      <c r="E163" s="11" t="s">
        <v>1493</v>
      </c>
      <c r="F163" s="11" t="s">
        <v>894</v>
      </c>
      <c r="G163" s="11" t="s">
        <v>893</v>
      </c>
      <c r="H163" s="11" t="s">
        <v>894</v>
      </c>
      <c r="I163" s="11" t="s">
        <v>1384</v>
      </c>
      <c r="J163" s="11" t="s">
        <v>1250</v>
      </c>
      <c r="K163" s="19" t="n">
        <v>1</v>
      </c>
      <c r="L163" s="11" t="s">
        <v>830</v>
      </c>
      <c r="M163" s="11" t="s">
        <v>828</v>
      </c>
      <c r="N163" s="12"/>
      <c r="O163" s="20" t="n">
        <v>46203</v>
      </c>
      <c r="P163" s="20"/>
      <c r="Q163" s="20"/>
      <c r="R163" s="11" t="s">
        <v>1308</v>
      </c>
      <c r="S163" s="11" t="s">
        <v>1309</v>
      </c>
      <c r="T163" s="11" t="str">
        <f aca="false">IF(P163="","No deadline",IF(Q163&lt;&gt;"",IF(Q163&gt;P163,"Late","On time"),IF(README!$B$4&gt;P163,"Overdue","Open")))</f>
        <v>No deadline</v>
      </c>
      <c r="U163" s="11"/>
      <c r="V163" s="11"/>
      <c r="W163" s="11"/>
      <c r="X163" s="11"/>
      <c r="Y163" s="11" t="str">
        <f aca="false">IF(AND(S163="Completed",P163&lt;&gt;"",Q163&lt;&gt;""),IF(AND(T163="Late",X163="Yes",W163="Yes"),"Excluded (validated delay)","Yes"),"No")</f>
        <v>No</v>
      </c>
      <c r="Z163" s="13" t="s">
        <v>1537</v>
      </c>
    </row>
    <row r="164" customFormat="false" ht="15" hidden="false" customHeight="true" outlineLevel="0" collapsed="false">
      <c r="A164" s="11" t="n">
        <v>109</v>
      </c>
      <c r="B164" s="11" t="s">
        <v>1581</v>
      </c>
      <c r="C164" s="11" t="s">
        <v>1582</v>
      </c>
      <c r="D164" s="11" t="s">
        <v>1585</v>
      </c>
      <c r="E164" s="11" t="s">
        <v>1495</v>
      </c>
      <c r="F164" s="11" t="s">
        <v>894</v>
      </c>
      <c r="G164" s="11" t="s">
        <v>893</v>
      </c>
      <c r="H164" s="11" t="s">
        <v>894</v>
      </c>
      <c r="I164" s="11" t="s">
        <v>1384</v>
      </c>
      <c r="J164" s="11" t="s">
        <v>1250</v>
      </c>
      <c r="K164" s="19" t="n">
        <v>1</v>
      </c>
      <c r="L164" s="11" t="s">
        <v>830</v>
      </c>
      <c r="M164" s="11" t="s">
        <v>828</v>
      </c>
      <c r="N164" s="12"/>
      <c r="O164" s="20" t="n">
        <v>46203</v>
      </c>
      <c r="P164" s="20"/>
      <c r="Q164" s="20"/>
      <c r="R164" s="11" t="s">
        <v>1308</v>
      </c>
      <c r="S164" s="11" t="s">
        <v>1309</v>
      </c>
      <c r="T164" s="11" t="str">
        <f aca="false">IF(P164="","No deadline",IF(Q164&lt;&gt;"",IF(Q164&gt;P164,"Late","On time"),IF(README!$B$4&gt;P164,"Overdue","Open")))</f>
        <v>No deadline</v>
      </c>
      <c r="U164" s="11"/>
      <c r="V164" s="11"/>
      <c r="W164" s="11"/>
      <c r="X164" s="11"/>
      <c r="Y164" s="11" t="str">
        <f aca="false">IF(AND(S164="Completed",P164&lt;&gt;"",Q164&lt;&gt;""),IF(AND(T164="Late",X164="Yes",W164="Yes"),"Excluded (validated delay)","Yes"),"No")</f>
        <v>No</v>
      </c>
      <c r="Z164" s="13" t="s">
        <v>1537</v>
      </c>
    </row>
    <row r="165" customFormat="false" ht="15" hidden="false" customHeight="true" outlineLevel="0" collapsed="false">
      <c r="A165" s="11" t="n">
        <v>110</v>
      </c>
      <c r="B165" s="11" t="s">
        <v>1586</v>
      </c>
      <c r="C165" s="11" t="s">
        <v>1587</v>
      </c>
      <c r="D165" s="11" t="s">
        <v>1588</v>
      </c>
      <c r="E165" s="11" t="s">
        <v>1490</v>
      </c>
      <c r="F165" s="11" t="s">
        <v>836</v>
      </c>
      <c r="G165" s="11" t="s">
        <v>835</v>
      </c>
      <c r="H165" s="11" t="s">
        <v>836</v>
      </c>
      <c r="I165" s="11" t="s">
        <v>1384</v>
      </c>
      <c r="J165" s="11" t="s">
        <v>1250</v>
      </c>
      <c r="K165" s="19" t="n">
        <v>1</v>
      </c>
      <c r="L165" s="11" t="s">
        <v>830</v>
      </c>
      <c r="M165" s="11" t="s">
        <v>828</v>
      </c>
      <c r="N165" s="12"/>
      <c r="O165" s="20" t="n">
        <v>46203</v>
      </c>
      <c r="P165" s="20"/>
      <c r="Q165" s="20" t="n">
        <v>46244</v>
      </c>
      <c r="R165" s="11" t="s">
        <v>1252</v>
      </c>
      <c r="S165" s="11" t="s">
        <v>1252</v>
      </c>
      <c r="T165" s="11" t="str">
        <f aca="false">IF(P165="","No deadline",IF(Q165&lt;&gt;"",IF(Q165&gt;P165,"Late","On time"),IF(README!$B$4&gt;P165,"Overdue","Open")))</f>
        <v>No deadline</v>
      </c>
      <c r="U165" s="11"/>
      <c r="V165" s="11"/>
      <c r="W165" s="11"/>
      <c r="X165" s="11"/>
      <c r="Y165" s="11" t="str">
        <f aca="false">IF(AND(S165="Completed",P165&lt;&gt;"",Q165&lt;&gt;""),IF(AND(T165="Late",X165="Yes",W165="Yes"),"Excluded (validated delay)","Yes"),"No")</f>
        <v>No</v>
      </c>
      <c r="Z165" s="13" t="s">
        <v>1537</v>
      </c>
    </row>
    <row r="166" customFormat="false" ht="15" hidden="false" customHeight="true" outlineLevel="0" collapsed="false">
      <c r="A166" s="11" t="n">
        <v>111</v>
      </c>
      <c r="B166" s="11" t="s">
        <v>1586</v>
      </c>
      <c r="C166" s="11" t="s">
        <v>1587</v>
      </c>
      <c r="D166" s="11" t="s">
        <v>1589</v>
      </c>
      <c r="E166" s="11" t="s">
        <v>1493</v>
      </c>
      <c r="F166" s="11" t="s">
        <v>836</v>
      </c>
      <c r="G166" s="11" t="s">
        <v>835</v>
      </c>
      <c r="H166" s="11" t="s">
        <v>836</v>
      </c>
      <c r="I166" s="11" t="s">
        <v>1384</v>
      </c>
      <c r="J166" s="11" t="s">
        <v>1250</v>
      </c>
      <c r="K166" s="19" t="n">
        <v>1</v>
      </c>
      <c r="L166" s="11" t="s">
        <v>830</v>
      </c>
      <c r="M166" s="11" t="s">
        <v>828</v>
      </c>
      <c r="N166" s="12"/>
      <c r="O166" s="20" t="n">
        <v>46203</v>
      </c>
      <c r="P166" s="20"/>
      <c r="Q166" s="20" t="n">
        <v>46244</v>
      </c>
      <c r="R166" s="11" t="s">
        <v>1252</v>
      </c>
      <c r="S166" s="11" t="s">
        <v>1252</v>
      </c>
      <c r="T166" s="11" t="str">
        <f aca="false">IF(P166="","No deadline",IF(Q166&lt;&gt;"",IF(Q166&gt;P166,"Late","On time"),IF(README!$B$4&gt;P166,"Overdue","Open")))</f>
        <v>No deadline</v>
      </c>
      <c r="U166" s="11"/>
      <c r="V166" s="11"/>
      <c r="W166" s="11"/>
      <c r="X166" s="11"/>
      <c r="Y166" s="11" t="str">
        <f aca="false">IF(AND(S166="Completed",P166&lt;&gt;"",Q166&lt;&gt;""),IF(AND(T166="Late",X166="Yes",W166="Yes"),"Excluded (validated delay)","Yes"),"No")</f>
        <v>No</v>
      </c>
      <c r="Z166" s="13" t="s">
        <v>1537</v>
      </c>
    </row>
    <row r="167" customFormat="false" ht="15" hidden="false" customHeight="true" outlineLevel="0" collapsed="false">
      <c r="A167" s="11" t="n">
        <v>112</v>
      </c>
      <c r="B167" s="11" t="s">
        <v>1586</v>
      </c>
      <c r="C167" s="11" t="s">
        <v>1587</v>
      </c>
      <c r="D167" s="11" t="s">
        <v>1590</v>
      </c>
      <c r="E167" s="11" t="s">
        <v>1495</v>
      </c>
      <c r="F167" s="11" t="s">
        <v>836</v>
      </c>
      <c r="G167" s="11" t="s">
        <v>835</v>
      </c>
      <c r="H167" s="11" t="s">
        <v>836</v>
      </c>
      <c r="I167" s="11" t="s">
        <v>1384</v>
      </c>
      <c r="J167" s="11" t="s">
        <v>1250</v>
      </c>
      <c r="K167" s="19" t="n">
        <v>1</v>
      </c>
      <c r="L167" s="11" t="s">
        <v>830</v>
      </c>
      <c r="M167" s="11" t="s">
        <v>828</v>
      </c>
      <c r="N167" s="12"/>
      <c r="O167" s="20" t="n">
        <v>46203</v>
      </c>
      <c r="P167" s="20"/>
      <c r="Q167" s="20" t="n">
        <v>46244</v>
      </c>
      <c r="R167" s="11" t="s">
        <v>1252</v>
      </c>
      <c r="S167" s="11" t="s">
        <v>1252</v>
      </c>
      <c r="T167" s="11" t="str">
        <f aca="false">IF(P167="","No deadline",IF(Q167&lt;&gt;"",IF(Q167&gt;P167,"Late","On time"),IF(README!$B$4&gt;P167,"Overdue","Open")))</f>
        <v>No deadline</v>
      </c>
      <c r="U167" s="11"/>
      <c r="V167" s="11"/>
      <c r="W167" s="11"/>
      <c r="X167" s="11"/>
      <c r="Y167" s="11" t="str">
        <f aca="false">IF(AND(S167="Completed",P167&lt;&gt;"",Q167&lt;&gt;""),IF(AND(T167="Late",X167="Yes",W167="Yes"),"Excluded (validated delay)","Yes"),"No")</f>
        <v>No</v>
      </c>
      <c r="Z167" s="13" t="s">
        <v>1537</v>
      </c>
    </row>
    <row r="168" customFormat="false" ht="23.25" hidden="false" customHeight="true" outlineLevel="0" collapsed="false">
      <c r="A168" s="11" t="n">
        <v>113</v>
      </c>
      <c r="B168" s="11" t="s">
        <v>1591</v>
      </c>
      <c r="C168" s="11" t="s">
        <v>1592</v>
      </c>
      <c r="D168" s="11" t="s">
        <v>1593</v>
      </c>
      <c r="E168" s="11" t="s">
        <v>1490</v>
      </c>
      <c r="F168" s="11" t="s">
        <v>836</v>
      </c>
      <c r="G168" s="11" t="s">
        <v>835</v>
      </c>
      <c r="H168" s="11" t="s">
        <v>836</v>
      </c>
      <c r="I168" s="11" t="s">
        <v>1384</v>
      </c>
      <c r="J168" s="11" t="s">
        <v>1250</v>
      </c>
      <c r="K168" s="19" t="n">
        <v>1</v>
      </c>
      <c r="L168" s="11" t="s">
        <v>830</v>
      </c>
      <c r="M168" s="11" t="s">
        <v>828</v>
      </c>
      <c r="N168" s="12"/>
      <c r="O168" s="20" t="n">
        <v>46219</v>
      </c>
      <c r="P168" s="20"/>
      <c r="Q168" s="20"/>
      <c r="R168" s="11" t="s">
        <v>1308</v>
      </c>
      <c r="S168" s="11" t="s">
        <v>1309</v>
      </c>
      <c r="T168" s="11" t="str">
        <f aca="false">IF(P168="","No deadline",IF(Q168&lt;&gt;"",IF(Q168&gt;P168,"Late","On time"),IF(README!$B$4&gt;P168,"Overdue","Open")))</f>
        <v>No deadline</v>
      </c>
      <c r="U168" s="11" t="s">
        <v>1347</v>
      </c>
      <c r="V168" s="11" t="s">
        <v>1594</v>
      </c>
      <c r="W168" s="11"/>
      <c r="X168" s="11" t="s">
        <v>1265</v>
      </c>
      <c r="Y168" s="11" t="str">
        <f aca="false">IF(AND(S168="Completed",P168&lt;&gt;"",Q168&lt;&gt;""),IF(AND(T168="Late",X168="Yes",W168="Yes"),"Excluded (validated delay)","Yes"),"No")</f>
        <v>No</v>
      </c>
      <c r="Z168" s="13" t="s">
        <v>1595</v>
      </c>
    </row>
    <row r="169" customFormat="false" ht="23.25" hidden="false" customHeight="true" outlineLevel="0" collapsed="false">
      <c r="A169" s="11" t="n">
        <v>114</v>
      </c>
      <c r="B169" s="11" t="s">
        <v>1591</v>
      </c>
      <c r="C169" s="11" t="s">
        <v>1592</v>
      </c>
      <c r="D169" s="11" t="s">
        <v>1596</v>
      </c>
      <c r="E169" s="11" t="s">
        <v>1493</v>
      </c>
      <c r="F169" s="11" t="s">
        <v>836</v>
      </c>
      <c r="G169" s="11" t="s">
        <v>835</v>
      </c>
      <c r="H169" s="11" t="s">
        <v>836</v>
      </c>
      <c r="I169" s="11" t="s">
        <v>1384</v>
      </c>
      <c r="J169" s="11" t="s">
        <v>1250</v>
      </c>
      <c r="K169" s="19" t="n">
        <v>1</v>
      </c>
      <c r="L169" s="11" t="s">
        <v>830</v>
      </c>
      <c r="M169" s="11" t="s">
        <v>828</v>
      </c>
      <c r="N169" s="12"/>
      <c r="O169" s="20" t="n">
        <v>46219</v>
      </c>
      <c r="P169" s="20"/>
      <c r="Q169" s="20"/>
      <c r="R169" s="11" t="s">
        <v>1308</v>
      </c>
      <c r="S169" s="11" t="s">
        <v>1309</v>
      </c>
      <c r="T169" s="11" t="str">
        <f aca="false">IF(P169="","No deadline",IF(Q169&lt;&gt;"",IF(Q169&gt;P169,"Late","On time"),IF(README!$B$4&gt;P169,"Overdue","Open")))</f>
        <v>No deadline</v>
      </c>
      <c r="U169" s="11" t="s">
        <v>1347</v>
      </c>
      <c r="V169" s="11" t="s">
        <v>1594</v>
      </c>
      <c r="W169" s="11"/>
      <c r="X169" s="11" t="s">
        <v>1265</v>
      </c>
      <c r="Y169" s="11" t="str">
        <f aca="false">IF(AND(S169="Completed",P169&lt;&gt;"",Q169&lt;&gt;""),IF(AND(T169="Late",X169="Yes",W169="Yes"),"Excluded (validated delay)","Yes"),"No")</f>
        <v>No</v>
      </c>
      <c r="Z169" s="13" t="s">
        <v>1595</v>
      </c>
    </row>
    <row r="170" customFormat="false" ht="23.25" hidden="false" customHeight="true" outlineLevel="0" collapsed="false">
      <c r="A170" s="11" t="n">
        <v>115</v>
      </c>
      <c r="B170" s="11" t="s">
        <v>1591</v>
      </c>
      <c r="C170" s="11" t="s">
        <v>1592</v>
      </c>
      <c r="D170" s="11" t="s">
        <v>1597</v>
      </c>
      <c r="E170" s="11" t="s">
        <v>1495</v>
      </c>
      <c r="F170" s="11" t="s">
        <v>836</v>
      </c>
      <c r="G170" s="11" t="s">
        <v>835</v>
      </c>
      <c r="H170" s="11" t="s">
        <v>836</v>
      </c>
      <c r="I170" s="11" t="s">
        <v>1384</v>
      </c>
      <c r="J170" s="11" t="s">
        <v>1250</v>
      </c>
      <c r="K170" s="19" t="n">
        <v>1</v>
      </c>
      <c r="L170" s="11" t="s">
        <v>830</v>
      </c>
      <c r="M170" s="11" t="s">
        <v>828</v>
      </c>
      <c r="N170" s="12"/>
      <c r="O170" s="20" t="n">
        <v>46219</v>
      </c>
      <c r="P170" s="20"/>
      <c r="Q170" s="20"/>
      <c r="R170" s="11" t="s">
        <v>1308</v>
      </c>
      <c r="S170" s="11" t="s">
        <v>1309</v>
      </c>
      <c r="T170" s="11" t="str">
        <f aca="false">IF(P170="","No deadline",IF(Q170&lt;&gt;"",IF(Q170&gt;P170,"Late","On time"),IF(README!$B$4&gt;P170,"Overdue","Open")))</f>
        <v>No deadline</v>
      </c>
      <c r="U170" s="11" t="s">
        <v>1347</v>
      </c>
      <c r="V170" s="11" t="s">
        <v>1594</v>
      </c>
      <c r="W170" s="11"/>
      <c r="X170" s="11" t="s">
        <v>1265</v>
      </c>
      <c r="Y170" s="11" t="str">
        <f aca="false">IF(AND(S170="Completed",P170&lt;&gt;"",Q170&lt;&gt;""),IF(AND(T170="Late",X170="Yes",W170="Yes"),"Excluded (validated delay)","Yes"),"No")</f>
        <v>No</v>
      </c>
      <c r="Z170" s="13" t="s">
        <v>1595</v>
      </c>
    </row>
    <row r="171" customFormat="false" ht="23.25" hidden="false" customHeight="true" outlineLevel="0" collapsed="false">
      <c r="A171" s="11" t="n">
        <v>116</v>
      </c>
      <c r="B171" s="11" t="s">
        <v>1598</v>
      </c>
      <c r="C171" s="11" t="s">
        <v>1599</v>
      </c>
      <c r="D171" s="11" t="s">
        <v>1600</v>
      </c>
      <c r="E171" s="11" t="s">
        <v>1490</v>
      </c>
      <c r="F171" s="11" t="s">
        <v>833</v>
      </c>
      <c r="G171" s="11" t="s">
        <v>832</v>
      </c>
      <c r="H171" s="11" t="s">
        <v>833</v>
      </c>
      <c r="I171" s="11" t="s">
        <v>1384</v>
      </c>
      <c r="J171" s="11" t="s">
        <v>1395</v>
      </c>
      <c r="K171" s="19" t="n">
        <v>0.5</v>
      </c>
      <c r="L171" s="11" t="s">
        <v>830</v>
      </c>
      <c r="M171" s="11" t="s">
        <v>828</v>
      </c>
      <c r="N171" s="12"/>
      <c r="O171" s="20" t="n">
        <v>46231</v>
      </c>
      <c r="P171" s="20"/>
      <c r="Q171" s="20"/>
      <c r="R171" s="11" t="s">
        <v>1464</v>
      </c>
      <c r="S171" s="11" t="s">
        <v>1464</v>
      </c>
      <c r="T171" s="11" t="str">
        <f aca="false">IF(P171="","No deadline",IF(Q171&lt;&gt;"",IF(Q171&gt;P171,"Late","On time"),IF(README!$B$4&gt;P171,"Overdue","Open")))</f>
        <v>No deadline</v>
      </c>
      <c r="U171" s="11"/>
      <c r="V171" s="11"/>
      <c r="W171" s="11"/>
      <c r="X171" s="11"/>
      <c r="Y171" s="11" t="str">
        <f aca="false">IF(AND(S171="Completed",P171&lt;&gt;"",Q171&lt;&gt;""),IF(AND(T171="Late",X171="Yes",W171="Yes"),"Excluded (validated delay)","Yes"),"No")</f>
        <v>No</v>
      </c>
      <c r="Z171" s="13" t="s">
        <v>1449</v>
      </c>
    </row>
    <row r="172" customFormat="false" ht="23.25" hidden="false" customHeight="true" outlineLevel="0" collapsed="false">
      <c r="A172" s="11" t="n">
        <v>116</v>
      </c>
      <c r="B172" s="11" t="s">
        <v>1598</v>
      </c>
      <c r="C172" s="11" t="s">
        <v>1599</v>
      </c>
      <c r="D172" s="11" t="s">
        <v>1600</v>
      </c>
      <c r="E172" s="11" t="s">
        <v>1490</v>
      </c>
      <c r="F172" s="11" t="s">
        <v>836</v>
      </c>
      <c r="G172" s="11" t="s">
        <v>835</v>
      </c>
      <c r="H172" s="11" t="s">
        <v>836</v>
      </c>
      <c r="I172" s="11" t="s">
        <v>1384</v>
      </c>
      <c r="J172" s="11" t="s">
        <v>1395</v>
      </c>
      <c r="K172" s="19" t="n">
        <v>0.5</v>
      </c>
      <c r="L172" s="11" t="s">
        <v>830</v>
      </c>
      <c r="M172" s="11" t="s">
        <v>828</v>
      </c>
      <c r="N172" s="12"/>
      <c r="O172" s="20" t="n">
        <v>46231</v>
      </c>
      <c r="P172" s="20"/>
      <c r="Q172" s="20"/>
      <c r="R172" s="11" t="s">
        <v>1464</v>
      </c>
      <c r="S172" s="11" t="s">
        <v>1464</v>
      </c>
      <c r="T172" s="11" t="str">
        <f aca="false">IF(P172="","No deadline",IF(Q172&lt;&gt;"",IF(Q172&gt;P172,"Late","On time"),IF(README!$B$4&gt;P172,"Overdue","Open")))</f>
        <v>No deadline</v>
      </c>
      <c r="U172" s="11"/>
      <c r="V172" s="11"/>
      <c r="W172" s="11"/>
      <c r="X172" s="11"/>
      <c r="Y172" s="11" t="str">
        <f aca="false">IF(AND(S172="Completed",P172&lt;&gt;"",Q172&lt;&gt;""),IF(AND(T172="Late",X172="Yes",W172="Yes"),"Excluded (validated delay)","Yes"),"No")</f>
        <v>No</v>
      </c>
      <c r="Z172" s="13" t="s">
        <v>1449</v>
      </c>
    </row>
    <row r="173" customFormat="false" ht="23.25" hidden="false" customHeight="true" outlineLevel="0" collapsed="false">
      <c r="A173" s="11" t="n">
        <v>117</v>
      </c>
      <c r="B173" s="11" t="s">
        <v>1598</v>
      </c>
      <c r="C173" s="11" t="s">
        <v>1599</v>
      </c>
      <c r="D173" s="11" t="s">
        <v>1601</v>
      </c>
      <c r="E173" s="11" t="s">
        <v>1493</v>
      </c>
      <c r="F173" s="11" t="s">
        <v>833</v>
      </c>
      <c r="G173" s="11" t="s">
        <v>832</v>
      </c>
      <c r="H173" s="11" t="s">
        <v>833</v>
      </c>
      <c r="I173" s="11" t="s">
        <v>1384</v>
      </c>
      <c r="J173" s="11" t="s">
        <v>1395</v>
      </c>
      <c r="K173" s="19" t="n">
        <v>0.5</v>
      </c>
      <c r="L173" s="11" t="s">
        <v>830</v>
      </c>
      <c r="M173" s="11" t="s">
        <v>828</v>
      </c>
      <c r="N173" s="12"/>
      <c r="O173" s="20" t="n">
        <v>46231</v>
      </c>
      <c r="P173" s="20"/>
      <c r="Q173" s="20"/>
      <c r="R173" s="11" t="s">
        <v>1464</v>
      </c>
      <c r="S173" s="11" t="s">
        <v>1464</v>
      </c>
      <c r="T173" s="11" t="str">
        <f aca="false">IF(P173="","No deadline",IF(Q173&lt;&gt;"",IF(Q173&gt;P173,"Late","On time"),IF(README!$B$4&gt;P173,"Overdue","Open")))</f>
        <v>No deadline</v>
      </c>
      <c r="U173" s="11"/>
      <c r="V173" s="11"/>
      <c r="W173" s="11"/>
      <c r="X173" s="11"/>
      <c r="Y173" s="11" t="str">
        <f aca="false">IF(AND(S173="Completed",P173&lt;&gt;"",Q173&lt;&gt;""),IF(AND(T173="Late",X173="Yes",W173="Yes"),"Excluded (validated delay)","Yes"),"No")</f>
        <v>No</v>
      </c>
      <c r="Z173" s="13" t="s">
        <v>1449</v>
      </c>
    </row>
    <row r="174" customFormat="false" ht="23.25" hidden="false" customHeight="true" outlineLevel="0" collapsed="false">
      <c r="A174" s="11" t="n">
        <v>117</v>
      </c>
      <c r="B174" s="11" t="s">
        <v>1598</v>
      </c>
      <c r="C174" s="11" t="s">
        <v>1599</v>
      </c>
      <c r="D174" s="11" t="s">
        <v>1601</v>
      </c>
      <c r="E174" s="11" t="s">
        <v>1493</v>
      </c>
      <c r="F174" s="11" t="s">
        <v>836</v>
      </c>
      <c r="G174" s="11" t="s">
        <v>835</v>
      </c>
      <c r="H174" s="11" t="s">
        <v>836</v>
      </c>
      <c r="I174" s="11" t="s">
        <v>1384</v>
      </c>
      <c r="J174" s="11" t="s">
        <v>1395</v>
      </c>
      <c r="K174" s="19" t="n">
        <v>0.5</v>
      </c>
      <c r="L174" s="11" t="s">
        <v>830</v>
      </c>
      <c r="M174" s="11" t="s">
        <v>828</v>
      </c>
      <c r="N174" s="12"/>
      <c r="O174" s="20" t="n">
        <v>46231</v>
      </c>
      <c r="P174" s="20"/>
      <c r="Q174" s="20"/>
      <c r="R174" s="11" t="s">
        <v>1464</v>
      </c>
      <c r="S174" s="11" t="s">
        <v>1464</v>
      </c>
      <c r="T174" s="11" t="str">
        <f aca="false">IF(P174="","No deadline",IF(Q174&lt;&gt;"",IF(Q174&gt;P174,"Late","On time"),IF(README!$B$4&gt;P174,"Overdue","Open")))</f>
        <v>No deadline</v>
      </c>
      <c r="U174" s="11"/>
      <c r="V174" s="11"/>
      <c r="W174" s="11"/>
      <c r="X174" s="11"/>
      <c r="Y174" s="11" t="str">
        <f aca="false">IF(AND(S174="Completed",P174&lt;&gt;"",Q174&lt;&gt;""),IF(AND(T174="Late",X174="Yes",W174="Yes"),"Excluded (validated delay)","Yes"),"No")</f>
        <v>No</v>
      </c>
      <c r="Z174" s="13" t="s">
        <v>1449</v>
      </c>
    </row>
    <row r="175" customFormat="false" ht="23.25" hidden="false" customHeight="true" outlineLevel="0" collapsed="false">
      <c r="A175" s="11" t="n">
        <v>118</v>
      </c>
      <c r="B175" s="11" t="s">
        <v>1598</v>
      </c>
      <c r="C175" s="11" t="s">
        <v>1599</v>
      </c>
      <c r="D175" s="11" t="s">
        <v>1602</v>
      </c>
      <c r="E175" s="11" t="s">
        <v>1495</v>
      </c>
      <c r="F175" s="11" t="s">
        <v>833</v>
      </c>
      <c r="G175" s="11" t="s">
        <v>832</v>
      </c>
      <c r="H175" s="11" t="s">
        <v>833</v>
      </c>
      <c r="I175" s="11" t="s">
        <v>1384</v>
      </c>
      <c r="J175" s="11" t="s">
        <v>1395</v>
      </c>
      <c r="K175" s="19" t="n">
        <v>0.5</v>
      </c>
      <c r="L175" s="11" t="s">
        <v>830</v>
      </c>
      <c r="M175" s="11" t="s">
        <v>828</v>
      </c>
      <c r="N175" s="12"/>
      <c r="O175" s="20" t="n">
        <v>46231</v>
      </c>
      <c r="P175" s="20"/>
      <c r="Q175" s="20"/>
      <c r="R175" s="11" t="s">
        <v>1464</v>
      </c>
      <c r="S175" s="11" t="s">
        <v>1464</v>
      </c>
      <c r="T175" s="11" t="str">
        <f aca="false">IF(P175="","No deadline",IF(Q175&lt;&gt;"",IF(Q175&gt;P175,"Late","On time"),IF(README!$B$4&gt;P175,"Overdue","Open")))</f>
        <v>No deadline</v>
      </c>
      <c r="U175" s="11"/>
      <c r="V175" s="11"/>
      <c r="W175" s="11"/>
      <c r="X175" s="11"/>
      <c r="Y175" s="11" t="str">
        <f aca="false">IF(AND(S175="Completed",P175&lt;&gt;"",Q175&lt;&gt;""),IF(AND(T175="Late",X175="Yes",W175="Yes"),"Excluded (validated delay)","Yes"),"No")</f>
        <v>No</v>
      </c>
      <c r="Z175" s="13" t="s">
        <v>1449</v>
      </c>
    </row>
    <row r="176" customFormat="false" ht="23.25" hidden="false" customHeight="true" outlineLevel="0" collapsed="false">
      <c r="A176" s="11" t="n">
        <v>118</v>
      </c>
      <c r="B176" s="11" t="s">
        <v>1598</v>
      </c>
      <c r="C176" s="11" t="s">
        <v>1599</v>
      </c>
      <c r="D176" s="11" t="s">
        <v>1602</v>
      </c>
      <c r="E176" s="11" t="s">
        <v>1495</v>
      </c>
      <c r="F176" s="11" t="s">
        <v>836</v>
      </c>
      <c r="G176" s="11" t="s">
        <v>835</v>
      </c>
      <c r="H176" s="11" t="s">
        <v>836</v>
      </c>
      <c r="I176" s="11" t="s">
        <v>1384</v>
      </c>
      <c r="J176" s="11" t="s">
        <v>1395</v>
      </c>
      <c r="K176" s="19" t="n">
        <v>0.5</v>
      </c>
      <c r="L176" s="11" t="s">
        <v>830</v>
      </c>
      <c r="M176" s="11" t="s">
        <v>828</v>
      </c>
      <c r="N176" s="12"/>
      <c r="O176" s="20" t="n">
        <v>46231</v>
      </c>
      <c r="P176" s="20"/>
      <c r="Q176" s="20"/>
      <c r="R176" s="11" t="s">
        <v>1464</v>
      </c>
      <c r="S176" s="11" t="s">
        <v>1464</v>
      </c>
      <c r="T176" s="11" t="str">
        <f aca="false">IF(P176="","No deadline",IF(Q176&lt;&gt;"",IF(Q176&gt;P176,"Late","On time"),IF(README!$B$4&gt;P176,"Overdue","Open")))</f>
        <v>No deadline</v>
      </c>
      <c r="U176" s="11"/>
      <c r="V176" s="11"/>
      <c r="W176" s="11"/>
      <c r="X176" s="11"/>
      <c r="Y176" s="11" t="str">
        <f aca="false">IF(AND(S176="Completed",P176&lt;&gt;"",Q176&lt;&gt;""),IF(AND(T176="Late",X176="Yes",W176="Yes"),"Excluded (validated delay)","Yes"),"No")</f>
        <v>No</v>
      </c>
      <c r="Z176" s="13" t="s">
        <v>1449</v>
      </c>
    </row>
  </sheetData>
  <autoFilter ref="A1:Z176"/>
  <dataValidations count="2">
    <dataValidation allowBlank="false" errorStyle="stop" operator="between" showDropDown="false" showErrorMessage="false" showInputMessage="false" sqref="N2:N176" type="list">
      <formula1>"High,Medium,Low"</formula1>
      <formula2>0</formula2>
    </dataValidation>
    <dataValidation allowBlank="false" errorStyle="stop" operator="between" showDropDown="false" showErrorMessage="false" showInputMessage="false" sqref="S2:S176" type="list">
      <formula1>"Not Started,In Progress,Blocked,In Review,Rework,Completed,On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0"/>
    <col collapsed="false" customWidth="true" hidden="false" outlineLevel="0" max="4" min="3" style="1" width="16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10" min="9" style="1" width="11"/>
    <col collapsed="false" customWidth="true" hidden="false" outlineLevel="0" max="11" min="11" style="1" width="24"/>
  </cols>
  <sheetData>
    <row r="1" customFormat="false" ht="23.25" hidden="false" customHeight="true" outlineLevel="0" collapsed="false">
      <c r="A1" s="10" t="s">
        <v>1222</v>
      </c>
      <c r="B1" s="10" t="s">
        <v>1223</v>
      </c>
      <c r="C1" s="10" t="s">
        <v>36</v>
      </c>
      <c r="D1" s="10" t="s">
        <v>1250</v>
      </c>
      <c r="E1" s="10" t="s">
        <v>1233</v>
      </c>
      <c r="F1" s="10" t="s">
        <v>1603</v>
      </c>
      <c r="G1" s="10" t="s">
        <v>1252</v>
      </c>
      <c r="H1" s="10" t="s">
        <v>1346</v>
      </c>
      <c r="I1" s="10" t="s">
        <v>1604</v>
      </c>
      <c r="J1" s="10" t="s">
        <v>1605</v>
      </c>
      <c r="K1" s="10" t="s">
        <v>1606</v>
      </c>
    </row>
    <row r="2" customFormat="false" ht="15" hidden="false" customHeight="true" outlineLevel="0" collapsed="false">
      <c r="A2" s="11" t="s">
        <v>1246</v>
      </c>
      <c r="B2" s="11" t="s">
        <v>1247</v>
      </c>
      <c r="C2" s="11" t="s">
        <v>96</v>
      </c>
      <c r="D2" s="11" t="s">
        <v>330</v>
      </c>
      <c r="E2" s="11" t="s">
        <v>1251</v>
      </c>
      <c r="F2" s="11" t="n">
        <f aca="false">COUNTIF(Tracker_Cleaned!$B$2:$B$176,A2)</f>
        <v>1</v>
      </c>
      <c r="G2" s="11" t="n">
        <f aca="false">COUNTIFS(Tracker_Cleaned!$B$2:$B$176,A2,Tracker_Cleaned!$S$2:$S$176,"Completed")</f>
        <v>1</v>
      </c>
      <c r="H2" s="11" t="n">
        <f aca="false">COUNTIFS(Tracker_Cleaned!$B$2:$B$176,A2,Tracker_Cleaned!$S$2:$S$176,"Blocked")</f>
        <v>0</v>
      </c>
      <c r="I2" s="11" t="n">
        <f aca="false">COUNTIFS(Tracker_Cleaned!$B$2:$B$176,A2,Tracker_Cleaned!$T$2:$T$176,"Late")+COUNTIFS(Tracker_Cleaned!$B$2:$B$176,A2,Tracker_Cleaned!$T$2:$T$176,"Overdue")</f>
        <v>0</v>
      </c>
      <c r="J2" s="11" t="n">
        <f aca="false">COUNTIFS(Tracker_Cleaned!$B$2:$B$176,A2,Tracker_Cleaned!$T$2:$T$176,"No deadline")</f>
        <v>0</v>
      </c>
      <c r="K2" s="11"/>
    </row>
    <row r="3" customFormat="false" ht="15" hidden="false" customHeight="true" outlineLevel="0" collapsed="false">
      <c r="A3" s="11" t="s">
        <v>1253</v>
      </c>
      <c r="B3" s="11" t="s">
        <v>1254</v>
      </c>
      <c r="C3" s="11" t="s">
        <v>96</v>
      </c>
      <c r="D3" s="11" t="s">
        <v>330</v>
      </c>
      <c r="E3" s="11" t="s">
        <v>1251</v>
      </c>
      <c r="F3" s="11" t="n">
        <f aca="false">COUNTIF(Tracker_Cleaned!$B$2:$B$176,A3)</f>
        <v>1</v>
      </c>
      <c r="G3" s="11" t="n">
        <f aca="false">COUNTIFS(Tracker_Cleaned!$B$2:$B$176,A3,Tracker_Cleaned!$S$2:$S$176,"Completed")</f>
        <v>1</v>
      </c>
      <c r="H3" s="11" t="n">
        <f aca="false">COUNTIFS(Tracker_Cleaned!$B$2:$B$176,A3,Tracker_Cleaned!$S$2:$S$176,"Blocked")</f>
        <v>0</v>
      </c>
      <c r="I3" s="11" t="n">
        <f aca="false">COUNTIFS(Tracker_Cleaned!$B$2:$B$176,A3,Tracker_Cleaned!$T$2:$T$176,"Late")+COUNTIFS(Tracker_Cleaned!$B$2:$B$176,A3,Tracker_Cleaned!$T$2:$T$176,"Overdue")</f>
        <v>0</v>
      </c>
      <c r="J3" s="11" t="n">
        <f aca="false">COUNTIFS(Tracker_Cleaned!$B$2:$B$176,A3,Tracker_Cleaned!$T$2:$T$176,"No deadline")</f>
        <v>0</v>
      </c>
      <c r="K3" s="11"/>
    </row>
    <row r="4" customFormat="false" ht="15" hidden="false" customHeight="true" outlineLevel="0" collapsed="false">
      <c r="A4" s="11" t="s">
        <v>1256</v>
      </c>
      <c r="B4" s="11" t="s">
        <v>1257</v>
      </c>
      <c r="C4" s="11" t="s">
        <v>96</v>
      </c>
      <c r="D4" s="11" t="s">
        <v>330</v>
      </c>
      <c r="E4" s="11" t="s">
        <v>1251</v>
      </c>
      <c r="F4" s="11" t="n">
        <f aca="false">COUNTIF(Tracker_Cleaned!$B$2:$B$176,A4)</f>
        <v>1</v>
      </c>
      <c r="G4" s="11" t="n">
        <f aca="false">COUNTIFS(Tracker_Cleaned!$B$2:$B$176,A4,Tracker_Cleaned!$S$2:$S$176,"Completed")</f>
        <v>1</v>
      </c>
      <c r="H4" s="11" t="n">
        <f aca="false">COUNTIFS(Tracker_Cleaned!$B$2:$B$176,A4,Tracker_Cleaned!$S$2:$S$176,"Blocked")</f>
        <v>0</v>
      </c>
      <c r="I4" s="11" t="n">
        <f aca="false">COUNTIFS(Tracker_Cleaned!$B$2:$B$176,A4,Tracker_Cleaned!$T$2:$T$176,"Late")+COUNTIFS(Tracker_Cleaned!$B$2:$B$176,A4,Tracker_Cleaned!$T$2:$T$176,"Overdue")</f>
        <v>0</v>
      </c>
      <c r="J4" s="11" t="n">
        <f aca="false">COUNTIFS(Tracker_Cleaned!$B$2:$B$176,A4,Tracker_Cleaned!$T$2:$T$176,"No deadline")</f>
        <v>0</v>
      </c>
      <c r="K4" s="11"/>
    </row>
    <row r="5" customFormat="false" ht="15" hidden="false" customHeight="true" outlineLevel="0" collapsed="false">
      <c r="A5" s="11" t="s">
        <v>1259</v>
      </c>
      <c r="B5" s="11" t="s">
        <v>1260</v>
      </c>
      <c r="C5" s="11" t="s">
        <v>96</v>
      </c>
      <c r="D5" s="11" t="s">
        <v>330</v>
      </c>
      <c r="E5" s="11" t="s">
        <v>1251</v>
      </c>
      <c r="F5" s="11" t="n">
        <f aca="false">COUNTIF(Tracker_Cleaned!$B$2:$B$176,A5)</f>
        <v>1</v>
      </c>
      <c r="G5" s="11" t="n">
        <f aca="false">COUNTIFS(Tracker_Cleaned!$B$2:$B$176,A5,Tracker_Cleaned!$S$2:$S$176,"Completed")</f>
        <v>0</v>
      </c>
      <c r="H5" s="11" t="n">
        <f aca="false">COUNTIFS(Tracker_Cleaned!$B$2:$B$176,A5,Tracker_Cleaned!$S$2:$S$176,"Blocked")</f>
        <v>0</v>
      </c>
      <c r="I5" s="11" t="n">
        <f aca="false">COUNTIFS(Tracker_Cleaned!$B$2:$B$176,A5,Tracker_Cleaned!$T$2:$T$176,"Late")+COUNTIFS(Tracker_Cleaned!$B$2:$B$176,A5,Tracker_Cleaned!$T$2:$T$176,"Overdue")</f>
        <v>0</v>
      </c>
      <c r="J5" s="11" t="n">
        <f aca="false">COUNTIFS(Tracker_Cleaned!$B$2:$B$176,A5,Tracker_Cleaned!$T$2:$T$176,"No deadline")</f>
        <v>0</v>
      </c>
      <c r="K5" s="11"/>
    </row>
    <row r="6" customFormat="false" ht="15" hidden="false" customHeight="true" outlineLevel="0" collapsed="false">
      <c r="A6" s="11" t="s">
        <v>1267</v>
      </c>
      <c r="B6" s="11" t="s">
        <v>1268</v>
      </c>
      <c r="C6" s="11" t="s">
        <v>96</v>
      </c>
      <c r="D6" s="11" t="s">
        <v>330</v>
      </c>
      <c r="E6" s="11" t="s">
        <v>1270</v>
      </c>
      <c r="F6" s="11" t="n">
        <f aca="false">COUNTIF(Tracker_Cleaned!$B$2:$B$176,A6)</f>
        <v>1</v>
      </c>
      <c r="G6" s="11" t="n">
        <f aca="false">COUNTIFS(Tracker_Cleaned!$B$2:$B$176,A6,Tracker_Cleaned!$S$2:$S$176,"Completed")</f>
        <v>0</v>
      </c>
      <c r="H6" s="11" t="n">
        <f aca="false">COUNTIFS(Tracker_Cleaned!$B$2:$B$176,A6,Tracker_Cleaned!$S$2:$S$176,"Blocked")</f>
        <v>0</v>
      </c>
      <c r="I6" s="11" t="n">
        <f aca="false">COUNTIFS(Tracker_Cleaned!$B$2:$B$176,A6,Tracker_Cleaned!$T$2:$T$176,"Late")+COUNTIFS(Tracker_Cleaned!$B$2:$B$176,A6,Tracker_Cleaned!$T$2:$T$176,"Overdue")</f>
        <v>1</v>
      </c>
      <c r="J6" s="11" t="n">
        <f aca="false">COUNTIFS(Tracker_Cleaned!$B$2:$B$176,A6,Tracker_Cleaned!$T$2:$T$176,"No deadline")</f>
        <v>0</v>
      </c>
      <c r="K6" s="11"/>
    </row>
    <row r="7" customFormat="false" ht="15" hidden="false" customHeight="true" outlineLevel="0" collapsed="false">
      <c r="A7" s="11" t="s">
        <v>1272</v>
      </c>
      <c r="B7" s="11" t="s">
        <v>1273</v>
      </c>
      <c r="C7" s="11" t="s">
        <v>96</v>
      </c>
      <c r="D7" s="11" t="s">
        <v>330</v>
      </c>
      <c r="E7" s="11" t="s">
        <v>1251</v>
      </c>
      <c r="F7" s="11" t="n">
        <f aca="false">COUNTIF(Tracker_Cleaned!$B$2:$B$176,A7)</f>
        <v>1</v>
      </c>
      <c r="G7" s="11" t="n">
        <f aca="false">COUNTIFS(Tracker_Cleaned!$B$2:$B$176,A7,Tracker_Cleaned!$S$2:$S$176,"Completed")</f>
        <v>0</v>
      </c>
      <c r="H7" s="11" t="n">
        <f aca="false">COUNTIFS(Tracker_Cleaned!$B$2:$B$176,A7,Tracker_Cleaned!$S$2:$S$176,"Blocked")</f>
        <v>0</v>
      </c>
      <c r="I7" s="11" t="n">
        <f aca="false">COUNTIFS(Tracker_Cleaned!$B$2:$B$176,A7,Tracker_Cleaned!$T$2:$T$176,"Late")+COUNTIFS(Tracker_Cleaned!$B$2:$B$176,A7,Tracker_Cleaned!$T$2:$T$176,"Overdue")</f>
        <v>1</v>
      </c>
      <c r="J7" s="11" t="n">
        <f aca="false">COUNTIFS(Tracker_Cleaned!$B$2:$B$176,A7,Tracker_Cleaned!$T$2:$T$176,"No deadline")</f>
        <v>0</v>
      </c>
      <c r="K7" s="11"/>
    </row>
    <row r="8" customFormat="false" ht="15" hidden="false" customHeight="true" outlineLevel="0" collapsed="false">
      <c r="A8" s="11" t="s">
        <v>1279</v>
      </c>
      <c r="B8" s="11" t="s">
        <v>1280</v>
      </c>
      <c r="C8" s="11" t="s">
        <v>96</v>
      </c>
      <c r="D8" s="11" t="s">
        <v>330</v>
      </c>
      <c r="E8" s="11" t="s">
        <v>1251</v>
      </c>
      <c r="F8" s="11" t="n">
        <f aca="false">COUNTIF(Tracker_Cleaned!$B$2:$B$176,A8)</f>
        <v>1</v>
      </c>
      <c r="G8" s="11" t="n">
        <f aca="false">COUNTIFS(Tracker_Cleaned!$B$2:$B$176,A8,Tracker_Cleaned!$S$2:$S$176,"Completed")</f>
        <v>0</v>
      </c>
      <c r="H8" s="11" t="n">
        <f aca="false">COUNTIFS(Tracker_Cleaned!$B$2:$B$176,A8,Tracker_Cleaned!$S$2:$S$176,"Blocked")</f>
        <v>0</v>
      </c>
      <c r="I8" s="11" t="n">
        <f aca="false">COUNTIFS(Tracker_Cleaned!$B$2:$B$176,A8,Tracker_Cleaned!$T$2:$T$176,"Late")+COUNTIFS(Tracker_Cleaned!$B$2:$B$176,A8,Tracker_Cleaned!$T$2:$T$176,"Overdue")</f>
        <v>1</v>
      </c>
      <c r="J8" s="11" t="n">
        <f aca="false">COUNTIFS(Tracker_Cleaned!$B$2:$B$176,A8,Tracker_Cleaned!$T$2:$T$176,"No deadline")</f>
        <v>0</v>
      </c>
      <c r="K8" s="11"/>
    </row>
    <row r="9" customFormat="false" ht="15" hidden="false" customHeight="true" outlineLevel="0" collapsed="false">
      <c r="A9" s="11" t="s">
        <v>1283</v>
      </c>
      <c r="B9" s="11" t="s">
        <v>1284</v>
      </c>
      <c r="C9" s="11" t="s">
        <v>96</v>
      </c>
      <c r="D9" s="11" t="s">
        <v>330</v>
      </c>
      <c r="E9" s="11" t="s">
        <v>1251</v>
      </c>
      <c r="F9" s="11" t="n">
        <f aca="false">COUNTIF(Tracker_Cleaned!$B$2:$B$176,A9)</f>
        <v>1</v>
      </c>
      <c r="G9" s="11" t="n">
        <f aca="false">COUNTIFS(Tracker_Cleaned!$B$2:$B$176,A9,Tracker_Cleaned!$S$2:$S$176,"Completed")</f>
        <v>0</v>
      </c>
      <c r="H9" s="11" t="n">
        <f aca="false">COUNTIFS(Tracker_Cleaned!$B$2:$B$176,A9,Tracker_Cleaned!$S$2:$S$176,"Blocked")</f>
        <v>0</v>
      </c>
      <c r="I9" s="11" t="n">
        <f aca="false">COUNTIFS(Tracker_Cleaned!$B$2:$B$176,A9,Tracker_Cleaned!$T$2:$T$176,"Late")+COUNTIFS(Tracker_Cleaned!$B$2:$B$176,A9,Tracker_Cleaned!$T$2:$T$176,"Overdue")</f>
        <v>1</v>
      </c>
      <c r="J9" s="11" t="n">
        <f aca="false">COUNTIFS(Tracker_Cleaned!$B$2:$B$176,A9,Tracker_Cleaned!$T$2:$T$176,"No deadline")</f>
        <v>0</v>
      </c>
      <c r="K9" s="11"/>
    </row>
    <row r="10" customFormat="false" ht="15" hidden="false" customHeight="true" outlineLevel="0" collapsed="false">
      <c r="A10" s="11" t="s">
        <v>1288</v>
      </c>
      <c r="B10" s="11" t="s">
        <v>1289</v>
      </c>
      <c r="C10" s="11" t="s">
        <v>96</v>
      </c>
      <c r="D10" s="11" t="s">
        <v>330</v>
      </c>
      <c r="E10" s="11" t="s">
        <v>1251</v>
      </c>
      <c r="F10" s="11" t="n">
        <f aca="false">COUNTIF(Tracker_Cleaned!$B$2:$B$176,A10)</f>
        <v>1</v>
      </c>
      <c r="G10" s="11" t="n">
        <f aca="false">COUNTIFS(Tracker_Cleaned!$B$2:$B$176,A10,Tracker_Cleaned!$S$2:$S$176,"Completed")</f>
        <v>0</v>
      </c>
      <c r="H10" s="11" t="n">
        <f aca="false">COUNTIFS(Tracker_Cleaned!$B$2:$B$176,A10,Tracker_Cleaned!$S$2:$S$176,"Blocked")</f>
        <v>0</v>
      </c>
      <c r="I10" s="11" t="n">
        <f aca="false">COUNTIFS(Tracker_Cleaned!$B$2:$B$176,A10,Tracker_Cleaned!$T$2:$T$176,"Late")+COUNTIFS(Tracker_Cleaned!$B$2:$B$176,A10,Tracker_Cleaned!$T$2:$T$176,"Overdue")</f>
        <v>1</v>
      </c>
      <c r="J10" s="11" t="n">
        <f aca="false">COUNTIFS(Tracker_Cleaned!$B$2:$B$176,A10,Tracker_Cleaned!$T$2:$T$176,"No deadline")</f>
        <v>0</v>
      </c>
      <c r="K10" s="11"/>
    </row>
    <row r="11" customFormat="false" ht="15" hidden="false" customHeight="true" outlineLevel="0" collapsed="false">
      <c r="A11" s="11" t="s">
        <v>1291</v>
      </c>
      <c r="B11" s="11" t="s">
        <v>1292</v>
      </c>
      <c r="C11" s="11" t="s">
        <v>96</v>
      </c>
      <c r="D11" s="11" t="s">
        <v>330</v>
      </c>
      <c r="E11" s="11" t="s">
        <v>1251</v>
      </c>
      <c r="F11" s="11" t="n">
        <f aca="false">COUNTIF(Tracker_Cleaned!$B$2:$B$176,A11)</f>
        <v>1</v>
      </c>
      <c r="G11" s="11" t="n">
        <f aca="false">COUNTIFS(Tracker_Cleaned!$B$2:$B$176,A11,Tracker_Cleaned!$S$2:$S$176,"Completed")</f>
        <v>0</v>
      </c>
      <c r="H11" s="11" t="n">
        <f aca="false">COUNTIFS(Tracker_Cleaned!$B$2:$B$176,A11,Tracker_Cleaned!$S$2:$S$176,"Blocked")</f>
        <v>0</v>
      </c>
      <c r="I11" s="11" t="n">
        <f aca="false">COUNTIFS(Tracker_Cleaned!$B$2:$B$176,A11,Tracker_Cleaned!$T$2:$T$176,"Late")+COUNTIFS(Tracker_Cleaned!$B$2:$B$176,A11,Tracker_Cleaned!$T$2:$T$176,"Overdue")</f>
        <v>1</v>
      </c>
      <c r="J11" s="11" t="n">
        <f aca="false">COUNTIFS(Tracker_Cleaned!$B$2:$B$176,A11,Tracker_Cleaned!$T$2:$T$176,"No deadline")</f>
        <v>0</v>
      </c>
      <c r="K11" s="11"/>
    </row>
    <row r="12" customFormat="false" ht="15" hidden="false" customHeight="true" outlineLevel="0" collapsed="false">
      <c r="A12" s="11" t="s">
        <v>1294</v>
      </c>
      <c r="B12" s="11" t="s">
        <v>1295</v>
      </c>
      <c r="C12" s="11" t="s">
        <v>96</v>
      </c>
      <c r="D12" s="11" t="s">
        <v>330</v>
      </c>
      <c r="E12" s="11" t="s">
        <v>1251</v>
      </c>
      <c r="F12" s="11" t="n">
        <f aca="false">COUNTIF(Tracker_Cleaned!$B$2:$B$176,A12)</f>
        <v>1</v>
      </c>
      <c r="G12" s="11" t="n">
        <f aca="false">COUNTIFS(Tracker_Cleaned!$B$2:$B$176,A12,Tracker_Cleaned!$S$2:$S$176,"Completed")</f>
        <v>0</v>
      </c>
      <c r="H12" s="11" t="n">
        <f aca="false">COUNTIFS(Tracker_Cleaned!$B$2:$B$176,A12,Tracker_Cleaned!$S$2:$S$176,"Blocked")</f>
        <v>0</v>
      </c>
      <c r="I12" s="11" t="n">
        <f aca="false">COUNTIFS(Tracker_Cleaned!$B$2:$B$176,A12,Tracker_Cleaned!$T$2:$T$176,"Late")+COUNTIFS(Tracker_Cleaned!$B$2:$B$176,A12,Tracker_Cleaned!$T$2:$T$176,"Overdue")</f>
        <v>1</v>
      </c>
      <c r="J12" s="11" t="n">
        <f aca="false">COUNTIFS(Tracker_Cleaned!$B$2:$B$176,A12,Tracker_Cleaned!$T$2:$T$176,"No deadline")</f>
        <v>0</v>
      </c>
      <c r="K12" s="11"/>
    </row>
    <row r="13" customFormat="false" ht="15" hidden="false" customHeight="true" outlineLevel="0" collapsed="false">
      <c r="A13" s="11" t="s">
        <v>1297</v>
      </c>
      <c r="B13" s="11" t="s">
        <v>1298</v>
      </c>
      <c r="C13" s="11" t="s">
        <v>96</v>
      </c>
      <c r="D13" s="11" t="s">
        <v>330</v>
      </c>
      <c r="E13" s="11" t="s">
        <v>1251</v>
      </c>
      <c r="F13" s="11" t="n">
        <f aca="false">COUNTIF(Tracker_Cleaned!$B$2:$B$176,A13)</f>
        <v>1</v>
      </c>
      <c r="G13" s="11" t="n">
        <f aca="false">COUNTIFS(Tracker_Cleaned!$B$2:$B$176,A13,Tracker_Cleaned!$S$2:$S$176,"Completed")</f>
        <v>0</v>
      </c>
      <c r="H13" s="11" t="n">
        <f aca="false">COUNTIFS(Tracker_Cleaned!$B$2:$B$176,A13,Tracker_Cleaned!$S$2:$S$176,"Blocked")</f>
        <v>0</v>
      </c>
      <c r="I13" s="11" t="n">
        <f aca="false">COUNTIFS(Tracker_Cleaned!$B$2:$B$176,A13,Tracker_Cleaned!$T$2:$T$176,"Late")+COUNTIFS(Tracker_Cleaned!$B$2:$B$176,A13,Tracker_Cleaned!$T$2:$T$176,"Overdue")</f>
        <v>1</v>
      </c>
      <c r="J13" s="11" t="n">
        <f aca="false">COUNTIFS(Tracker_Cleaned!$B$2:$B$176,A13,Tracker_Cleaned!$T$2:$T$176,"No deadline")</f>
        <v>0</v>
      </c>
      <c r="K13" s="11"/>
    </row>
    <row r="14" customFormat="false" ht="15" hidden="false" customHeight="true" outlineLevel="0" collapsed="false">
      <c r="A14" s="11" t="s">
        <v>1300</v>
      </c>
      <c r="B14" s="11" t="s">
        <v>1301</v>
      </c>
      <c r="C14" s="11" t="s">
        <v>96</v>
      </c>
      <c r="D14" s="11" t="s">
        <v>330</v>
      </c>
      <c r="E14" s="11" t="s">
        <v>1251</v>
      </c>
      <c r="F14" s="11" t="n">
        <f aca="false">COUNTIF(Tracker_Cleaned!$B$2:$B$176,A14)</f>
        <v>1</v>
      </c>
      <c r="G14" s="11" t="n">
        <f aca="false">COUNTIFS(Tracker_Cleaned!$B$2:$B$176,A14,Tracker_Cleaned!$S$2:$S$176,"Completed")</f>
        <v>0</v>
      </c>
      <c r="H14" s="11" t="n">
        <f aca="false">COUNTIFS(Tracker_Cleaned!$B$2:$B$176,A14,Tracker_Cleaned!$S$2:$S$176,"Blocked")</f>
        <v>0</v>
      </c>
      <c r="I14" s="11" t="n">
        <f aca="false">COUNTIFS(Tracker_Cleaned!$B$2:$B$176,A14,Tracker_Cleaned!$T$2:$T$176,"Late")+COUNTIFS(Tracker_Cleaned!$B$2:$B$176,A14,Tracker_Cleaned!$T$2:$T$176,"Overdue")</f>
        <v>0</v>
      </c>
      <c r="J14" s="11" t="n">
        <f aca="false">COUNTIFS(Tracker_Cleaned!$B$2:$B$176,A14,Tracker_Cleaned!$T$2:$T$176,"No deadline")</f>
        <v>0</v>
      </c>
      <c r="K14" s="11"/>
    </row>
    <row r="15" customFormat="false" ht="15" hidden="false" customHeight="true" outlineLevel="0" collapsed="false">
      <c r="A15" s="11" t="s">
        <v>1305</v>
      </c>
      <c r="B15" s="11" t="s">
        <v>1306</v>
      </c>
      <c r="C15" s="11" t="s">
        <v>96</v>
      </c>
      <c r="D15" s="11" t="s">
        <v>330</v>
      </c>
      <c r="E15" s="11" t="s">
        <v>1251</v>
      </c>
      <c r="F15" s="11" t="n">
        <f aca="false">COUNTIF(Tracker_Cleaned!$B$2:$B$176,A15)</f>
        <v>1</v>
      </c>
      <c r="G15" s="11" t="n">
        <f aca="false">COUNTIFS(Tracker_Cleaned!$B$2:$B$176,A15,Tracker_Cleaned!$S$2:$S$176,"Completed")</f>
        <v>0</v>
      </c>
      <c r="H15" s="11" t="n">
        <f aca="false">COUNTIFS(Tracker_Cleaned!$B$2:$B$176,A15,Tracker_Cleaned!$S$2:$S$176,"Blocked")</f>
        <v>0</v>
      </c>
      <c r="I15" s="11" t="n">
        <f aca="false">COUNTIFS(Tracker_Cleaned!$B$2:$B$176,A15,Tracker_Cleaned!$T$2:$T$176,"Late")+COUNTIFS(Tracker_Cleaned!$B$2:$B$176,A15,Tracker_Cleaned!$T$2:$T$176,"Overdue")</f>
        <v>1</v>
      </c>
      <c r="J15" s="11" t="n">
        <f aca="false">COUNTIFS(Tracker_Cleaned!$B$2:$B$176,A15,Tracker_Cleaned!$T$2:$T$176,"No deadline")</f>
        <v>0</v>
      </c>
      <c r="K15" s="11"/>
    </row>
    <row r="16" customFormat="false" ht="15" hidden="false" customHeight="true" outlineLevel="0" collapsed="false">
      <c r="A16" s="11" t="s">
        <v>1310</v>
      </c>
      <c r="B16" s="11" t="s">
        <v>1311</v>
      </c>
      <c r="C16" s="11" t="s">
        <v>96</v>
      </c>
      <c r="D16" s="11" t="s">
        <v>330</v>
      </c>
      <c r="E16" s="11" t="s">
        <v>1251</v>
      </c>
      <c r="F16" s="11" t="n">
        <f aca="false">COUNTIF(Tracker_Cleaned!$B$2:$B$176,A16)</f>
        <v>1</v>
      </c>
      <c r="G16" s="11" t="n">
        <f aca="false">COUNTIFS(Tracker_Cleaned!$B$2:$B$176,A16,Tracker_Cleaned!$S$2:$S$176,"Completed")</f>
        <v>0</v>
      </c>
      <c r="H16" s="11" t="n">
        <f aca="false">COUNTIFS(Tracker_Cleaned!$B$2:$B$176,A16,Tracker_Cleaned!$S$2:$S$176,"Blocked")</f>
        <v>0</v>
      </c>
      <c r="I16" s="11" t="n">
        <f aca="false">COUNTIFS(Tracker_Cleaned!$B$2:$B$176,A16,Tracker_Cleaned!$T$2:$T$176,"Late")+COUNTIFS(Tracker_Cleaned!$B$2:$B$176,A16,Tracker_Cleaned!$T$2:$T$176,"Overdue")</f>
        <v>1</v>
      </c>
      <c r="J16" s="11" t="n">
        <f aca="false">COUNTIFS(Tracker_Cleaned!$B$2:$B$176,A16,Tracker_Cleaned!$T$2:$T$176,"No deadline")</f>
        <v>0</v>
      </c>
      <c r="K16" s="11"/>
    </row>
    <row r="17" customFormat="false" ht="15" hidden="false" customHeight="true" outlineLevel="0" collapsed="false">
      <c r="A17" s="11" t="s">
        <v>1314</v>
      </c>
      <c r="B17" s="11" t="s">
        <v>1315</v>
      </c>
      <c r="C17" s="11" t="s">
        <v>96</v>
      </c>
      <c r="D17" s="11" t="s">
        <v>330</v>
      </c>
      <c r="E17" s="11" t="s">
        <v>1251</v>
      </c>
      <c r="F17" s="11" t="n">
        <f aca="false">COUNTIF(Tracker_Cleaned!$B$2:$B$176,A17)</f>
        <v>1</v>
      </c>
      <c r="G17" s="11" t="n">
        <f aca="false">COUNTIFS(Tracker_Cleaned!$B$2:$B$176,A17,Tracker_Cleaned!$S$2:$S$176,"Completed")</f>
        <v>1</v>
      </c>
      <c r="H17" s="11" t="n">
        <f aca="false">COUNTIFS(Tracker_Cleaned!$B$2:$B$176,A17,Tracker_Cleaned!$S$2:$S$176,"Blocked")</f>
        <v>0</v>
      </c>
      <c r="I17" s="11" t="n">
        <f aca="false">COUNTIFS(Tracker_Cleaned!$B$2:$B$176,A17,Tracker_Cleaned!$T$2:$T$176,"Late")+COUNTIFS(Tracker_Cleaned!$B$2:$B$176,A17,Tracker_Cleaned!$T$2:$T$176,"Overdue")</f>
        <v>0</v>
      </c>
      <c r="J17" s="11" t="n">
        <f aca="false">COUNTIFS(Tracker_Cleaned!$B$2:$B$176,A17,Tracker_Cleaned!$T$2:$T$176,"No deadline")</f>
        <v>0</v>
      </c>
      <c r="K17" s="11"/>
    </row>
    <row r="18" customFormat="false" ht="15" hidden="false" customHeight="true" outlineLevel="0" collapsed="false">
      <c r="A18" s="11" t="s">
        <v>1317</v>
      </c>
      <c r="B18" s="11" t="s">
        <v>1318</v>
      </c>
      <c r="C18" s="11" t="s">
        <v>96</v>
      </c>
      <c r="D18" s="11" t="s">
        <v>330</v>
      </c>
      <c r="E18" s="11" t="s">
        <v>1251</v>
      </c>
      <c r="F18" s="11" t="n">
        <f aca="false">COUNTIF(Tracker_Cleaned!$B$2:$B$176,A18)</f>
        <v>1</v>
      </c>
      <c r="G18" s="11" t="n">
        <f aca="false">COUNTIFS(Tracker_Cleaned!$B$2:$B$176,A18,Tracker_Cleaned!$S$2:$S$176,"Completed")</f>
        <v>0</v>
      </c>
      <c r="H18" s="11" t="n">
        <f aca="false">COUNTIFS(Tracker_Cleaned!$B$2:$B$176,A18,Tracker_Cleaned!$S$2:$S$176,"Blocked")</f>
        <v>0</v>
      </c>
      <c r="I18" s="11" t="n">
        <f aca="false">COUNTIFS(Tracker_Cleaned!$B$2:$B$176,A18,Tracker_Cleaned!$T$2:$T$176,"Late")+COUNTIFS(Tracker_Cleaned!$B$2:$B$176,A18,Tracker_Cleaned!$T$2:$T$176,"Overdue")</f>
        <v>1</v>
      </c>
      <c r="J18" s="11" t="n">
        <f aca="false">COUNTIFS(Tracker_Cleaned!$B$2:$B$176,A18,Tracker_Cleaned!$T$2:$T$176,"No deadline")</f>
        <v>0</v>
      </c>
      <c r="K18" s="11"/>
    </row>
    <row r="19" customFormat="false" ht="15" hidden="false" customHeight="true" outlineLevel="0" collapsed="false">
      <c r="A19" s="11" t="s">
        <v>1320</v>
      </c>
      <c r="B19" s="11" t="s">
        <v>1321</v>
      </c>
      <c r="C19" s="11" t="s">
        <v>96</v>
      </c>
      <c r="D19" s="11" t="s">
        <v>330</v>
      </c>
      <c r="E19" s="11" t="s">
        <v>1251</v>
      </c>
      <c r="F19" s="11" t="n">
        <f aca="false">COUNTIF(Tracker_Cleaned!$B$2:$B$176,A19)</f>
        <v>1</v>
      </c>
      <c r="G19" s="11" t="n">
        <f aca="false">COUNTIFS(Tracker_Cleaned!$B$2:$B$176,A19,Tracker_Cleaned!$S$2:$S$176,"Completed")</f>
        <v>0</v>
      </c>
      <c r="H19" s="11" t="n">
        <f aca="false">COUNTIFS(Tracker_Cleaned!$B$2:$B$176,A19,Tracker_Cleaned!$S$2:$S$176,"Blocked")</f>
        <v>0</v>
      </c>
      <c r="I19" s="11" t="n">
        <f aca="false">COUNTIFS(Tracker_Cleaned!$B$2:$B$176,A19,Tracker_Cleaned!$T$2:$T$176,"Late")+COUNTIFS(Tracker_Cleaned!$B$2:$B$176,A19,Tracker_Cleaned!$T$2:$T$176,"Overdue")</f>
        <v>1</v>
      </c>
      <c r="J19" s="11" t="n">
        <f aca="false">COUNTIFS(Tracker_Cleaned!$B$2:$B$176,A19,Tracker_Cleaned!$T$2:$T$176,"No deadline")</f>
        <v>0</v>
      </c>
      <c r="K19" s="11"/>
    </row>
    <row r="20" customFormat="false" ht="15" hidden="false" customHeight="true" outlineLevel="0" collapsed="false">
      <c r="A20" s="11" t="s">
        <v>1324</v>
      </c>
      <c r="B20" s="11" t="s">
        <v>1325</v>
      </c>
      <c r="C20" s="11" t="s">
        <v>96</v>
      </c>
      <c r="D20" s="11" t="s">
        <v>330</v>
      </c>
      <c r="E20" s="11" t="s">
        <v>1251</v>
      </c>
      <c r="F20" s="11" t="n">
        <f aca="false">COUNTIF(Tracker_Cleaned!$B$2:$B$176,A20)</f>
        <v>1</v>
      </c>
      <c r="G20" s="11" t="n">
        <f aca="false">COUNTIFS(Tracker_Cleaned!$B$2:$B$176,A20,Tracker_Cleaned!$S$2:$S$176,"Completed")</f>
        <v>0</v>
      </c>
      <c r="H20" s="11" t="n">
        <f aca="false">COUNTIFS(Tracker_Cleaned!$B$2:$B$176,A20,Tracker_Cleaned!$S$2:$S$176,"Blocked")</f>
        <v>0</v>
      </c>
      <c r="I20" s="11" t="n">
        <f aca="false">COUNTIFS(Tracker_Cleaned!$B$2:$B$176,A20,Tracker_Cleaned!$T$2:$T$176,"Late")+COUNTIFS(Tracker_Cleaned!$B$2:$B$176,A20,Tracker_Cleaned!$T$2:$T$176,"Overdue")</f>
        <v>1</v>
      </c>
      <c r="J20" s="11" t="n">
        <f aca="false">COUNTIFS(Tracker_Cleaned!$B$2:$B$176,A20,Tracker_Cleaned!$T$2:$T$176,"No deadline")</f>
        <v>0</v>
      </c>
      <c r="K20" s="11"/>
    </row>
    <row r="21" customFormat="false" ht="15" hidden="false" customHeight="true" outlineLevel="0" collapsed="false">
      <c r="A21" s="11" t="s">
        <v>1329</v>
      </c>
      <c r="B21" s="11" t="s">
        <v>1330</v>
      </c>
      <c r="C21" s="11" t="s">
        <v>96</v>
      </c>
      <c r="D21" s="11" t="s">
        <v>330</v>
      </c>
      <c r="E21" s="11" t="s">
        <v>1251</v>
      </c>
      <c r="F21" s="11" t="n">
        <f aca="false">COUNTIF(Tracker_Cleaned!$B$2:$B$176,A21)</f>
        <v>1</v>
      </c>
      <c r="G21" s="11" t="n">
        <f aca="false">COUNTIFS(Tracker_Cleaned!$B$2:$B$176,A21,Tracker_Cleaned!$S$2:$S$176,"Completed")</f>
        <v>0</v>
      </c>
      <c r="H21" s="11" t="n">
        <f aca="false">COUNTIFS(Tracker_Cleaned!$B$2:$B$176,A21,Tracker_Cleaned!$S$2:$S$176,"Blocked")</f>
        <v>0</v>
      </c>
      <c r="I21" s="11" t="n">
        <f aca="false">COUNTIFS(Tracker_Cleaned!$B$2:$B$176,A21,Tracker_Cleaned!$T$2:$T$176,"Late")+COUNTIFS(Tracker_Cleaned!$B$2:$B$176,A21,Tracker_Cleaned!$T$2:$T$176,"Overdue")</f>
        <v>1</v>
      </c>
      <c r="J21" s="11" t="n">
        <f aca="false">COUNTIFS(Tracker_Cleaned!$B$2:$B$176,A21,Tracker_Cleaned!$T$2:$T$176,"No deadline")</f>
        <v>0</v>
      </c>
      <c r="K21" s="11"/>
    </row>
    <row r="22" customFormat="false" ht="15" hidden="false" customHeight="true" outlineLevel="0" collapsed="false">
      <c r="A22" s="11" t="s">
        <v>1332</v>
      </c>
      <c r="B22" s="11" t="s">
        <v>1333</v>
      </c>
      <c r="C22" s="11" t="s">
        <v>96</v>
      </c>
      <c r="D22" s="11" t="s">
        <v>330</v>
      </c>
      <c r="E22" s="11" t="s">
        <v>1251</v>
      </c>
      <c r="F22" s="11" t="n">
        <f aca="false">COUNTIF(Tracker_Cleaned!$B$2:$B$176,A22)</f>
        <v>1</v>
      </c>
      <c r="G22" s="11" t="n">
        <f aca="false">COUNTIFS(Tracker_Cleaned!$B$2:$B$176,A22,Tracker_Cleaned!$S$2:$S$176,"Completed")</f>
        <v>0</v>
      </c>
      <c r="H22" s="11" t="n">
        <f aca="false">COUNTIFS(Tracker_Cleaned!$B$2:$B$176,A22,Tracker_Cleaned!$S$2:$S$176,"Blocked")</f>
        <v>0</v>
      </c>
      <c r="I22" s="11" t="n">
        <f aca="false">COUNTIFS(Tracker_Cleaned!$B$2:$B$176,A22,Tracker_Cleaned!$T$2:$T$176,"Late")+COUNTIFS(Tracker_Cleaned!$B$2:$B$176,A22,Tracker_Cleaned!$T$2:$T$176,"Overdue")</f>
        <v>1</v>
      </c>
      <c r="J22" s="11" t="n">
        <f aca="false">COUNTIFS(Tracker_Cleaned!$B$2:$B$176,A22,Tracker_Cleaned!$T$2:$T$176,"No deadline")</f>
        <v>0</v>
      </c>
      <c r="K22" s="11"/>
    </row>
    <row r="23" customFormat="false" ht="15" hidden="false" customHeight="true" outlineLevel="0" collapsed="false">
      <c r="A23" s="11" t="s">
        <v>1335</v>
      </c>
      <c r="B23" s="11" t="s">
        <v>1336</v>
      </c>
      <c r="C23" s="11" t="s">
        <v>96</v>
      </c>
      <c r="D23" s="11" t="s">
        <v>330</v>
      </c>
      <c r="E23" s="11" t="s">
        <v>1251</v>
      </c>
      <c r="F23" s="11" t="n">
        <f aca="false">COUNTIF(Tracker_Cleaned!$B$2:$B$176,A23)</f>
        <v>1</v>
      </c>
      <c r="G23" s="11" t="n">
        <f aca="false">COUNTIFS(Tracker_Cleaned!$B$2:$B$176,A23,Tracker_Cleaned!$S$2:$S$176,"Completed")</f>
        <v>0</v>
      </c>
      <c r="H23" s="11" t="n">
        <f aca="false">COUNTIFS(Tracker_Cleaned!$B$2:$B$176,A23,Tracker_Cleaned!$S$2:$S$176,"Blocked")</f>
        <v>0</v>
      </c>
      <c r="I23" s="11" t="n">
        <f aca="false">COUNTIFS(Tracker_Cleaned!$B$2:$B$176,A23,Tracker_Cleaned!$T$2:$T$176,"Late")+COUNTIFS(Tracker_Cleaned!$B$2:$B$176,A23,Tracker_Cleaned!$T$2:$T$176,"Overdue")</f>
        <v>1</v>
      </c>
      <c r="J23" s="11" t="n">
        <f aca="false">COUNTIFS(Tracker_Cleaned!$B$2:$B$176,A23,Tracker_Cleaned!$T$2:$T$176,"No deadline")</f>
        <v>0</v>
      </c>
      <c r="K23" s="11"/>
    </row>
    <row r="24" customFormat="false" ht="15" hidden="false" customHeight="true" outlineLevel="0" collapsed="false">
      <c r="A24" s="11" t="s">
        <v>1338</v>
      </c>
      <c r="B24" s="11" t="s">
        <v>1339</v>
      </c>
      <c r="C24" s="11" t="s">
        <v>662</v>
      </c>
      <c r="D24" s="11" t="s">
        <v>1344</v>
      </c>
      <c r="E24" s="11" t="s">
        <v>1251</v>
      </c>
      <c r="F24" s="11" t="n">
        <f aca="false">COUNTIF(Tracker_Cleaned!$B$2:$B$176,A24)</f>
        <v>1</v>
      </c>
      <c r="G24" s="11" t="n">
        <f aca="false">COUNTIFS(Tracker_Cleaned!$B$2:$B$176,A24,Tracker_Cleaned!$S$2:$S$176,"Completed")</f>
        <v>0</v>
      </c>
      <c r="H24" s="11" t="n">
        <f aca="false">COUNTIFS(Tracker_Cleaned!$B$2:$B$176,A24,Tracker_Cleaned!$S$2:$S$176,"Blocked")</f>
        <v>1</v>
      </c>
      <c r="I24" s="11" t="n">
        <f aca="false">COUNTIFS(Tracker_Cleaned!$B$2:$B$176,A24,Tracker_Cleaned!$T$2:$T$176,"Late")+COUNTIFS(Tracker_Cleaned!$B$2:$B$176,A24,Tracker_Cleaned!$T$2:$T$176,"Overdue")</f>
        <v>1</v>
      </c>
      <c r="J24" s="11" t="n">
        <f aca="false">COUNTIFS(Tracker_Cleaned!$B$2:$B$176,A24,Tracker_Cleaned!$T$2:$T$176,"No deadline")</f>
        <v>0</v>
      </c>
      <c r="K24" s="11"/>
    </row>
    <row r="25" customFormat="false" ht="15" hidden="false" customHeight="true" outlineLevel="0" collapsed="false">
      <c r="A25" s="11" t="s">
        <v>1350</v>
      </c>
      <c r="B25" s="11" t="s">
        <v>1351</v>
      </c>
      <c r="C25" s="11" t="s">
        <v>662</v>
      </c>
      <c r="D25" s="11" t="s">
        <v>1344</v>
      </c>
      <c r="E25" s="11" t="s">
        <v>1251</v>
      </c>
      <c r="F25" s="11" t="n">
        <f aca="false">COUNTIF(Tracker_Cleaned!$B$2:$B$176,A25)</f>
        <v>1</v>
      </c>
      <c r="G25" s="11" t="n">
        <f aca="false">COUNTIFS(Tracker_Cleaned!$B$2:$B$176,A25,Tracker_Cleaned!$S$2:$S$176,"Completed")</f>
        <v>0</v>
      </c>
      <c r="H25" s="11" t="n">
        <f aca="false">COUNTIFS(Tracker_Cleaned!$B$2:$B$176,A25,Tracker_Cleaned!$S$2:$S$176,"Blocked")</f>
        <v>0</v>
      </c>
      <c r="I25" s="11" t="n">
        <f aca="false">COUNTIFS(Tracker_Cleaned!$B$2:$B$176,A25,Tracker_Cleaned!$T$2:$T$176,"Late")+COUNTIFS(Tracker_Cleaned!$B$2:$B$176,A25,Tracker_Cleaned!$T$2:$T$176,"Overdue")</f>
        <v>0</v>
      </c>
      <c r="J25" s="11" t="n">
        <f aca="false">COUNTIFS(Tracker_Cleaned!$B$2:$B$176,A25,Tracker_Cleaned!$T$2:$T$176,"No deadline")</f>
        <v>1</v>
      </c>
      <c r="K25" s="11"/>
    </row>
    <row r="26" customFormat="false" ht="15" hidden="false" customHeight="true" outlineLevel="0" collapsed="false">
      <c r="A26" s="11" t="s">
        <v>1357</v>
      </c>
      <c r="B26" s="11" t="s">
        <v>1358</v>
      </c>
      <c r="C26" s="11" t="s">
        <v>662</v>
      </c>
      <c r="D26" s="11" t="s">
        <v>1344</v>
      </c>
      <c r="E26" s="11" t="s">
        <v>1270</v>
      </c>
      <c r="F26" s="11" t="n">
        <f aca="false">COUNTIF(Tracker_Cleaned!$B$2:$B$176,A26)</f>
        <v>1</v>
      </c>
      <c r="G26" s="11" t="n">
        <f aca="false">COUNTIFS(Tracker_Cleaned!$B$2:$B$176,A26,Tracker_Cleaned!$S$2:$S$176,"Completed")</f>
        <v>0</v>
      </c>
      <c r="H26" s="11" t="n">
        <f aca="false">COUNTIFS(Tracker_Cleaned!$B$2:$B$176,A26,Tracker_Cleaned!$S$2:$S$176,"Blocked")</f>
        <v>0</v>
      </c>
      <c r="I26" s="11" t="n">
        <f aca="false">COUNTIFS(Tracker_Cleaned!$B$2:$B$176,A26,Tracker_Cleaned!$T$2:$T$176,"Late")+COUNTIFS(Tracker_Cleaned!$B$2:$B$176,A26,Tracker_Cleaned!$T$2:$T$176,"Overdue")</f>
        <v>0</v>
      </c>
      <c r="J26" s="11" t="n">
        <f aca="false">COUNTIFS(Tracker_Cleaned!$B$2:$B$176,A26,Tracker_Cleaned!$T$2:$T$176,"No deadline")</f>
        <v>1</v>
      </c>
      <c r="K26" s="11"/>
    </row>
    <row r="27" customFormat="false" ht="15" hidden="false" customHeight="true" outlineLevel="0" collapsed="false">
      <c r="A27" s="11" t="s">
        <v>1362</v>
      </c>
      <c r="B27" s="11" t="s">
        <v>1363</v>
      </c>
      <c r="C27" s="11" t="s">
        <v>662</v>
      </c>
      <c r="D27" s="11" t="s">
        <v>1344</v>
      </c>
      <c r="E27" s="11" t="s">
        <v>1251</v>
      </c>
      <c r="F27" s="11" t="n">
        <f aca="false">COUNTIF(Tracker_Cleaned!$B$2:$B$176,A27)</f>
        <v>2</v>
      </c>
      <c r="G27" s="11" t="n">
        <f aca="false">COUNTIFS(Tracker_Cleaned!$B$2:$B$176,A27,Tracker_Cleaned!$S$2:$S$176,"Completed")</f>
        <v>0</v>
      </c>
      <c r="H27" s="11" t="n">
        <f aca="false">COUNTIFS(Tracker_Cleaned!$B$2:$B$176,A27,Tracker_Cleaned!$S$2:$S$176,"Blocked")</f>
        <v>2</v>
      </c>
      <c r="I27" s="11" t="n">
        <f aca="false">COUNTIFS(Tracker_Cleaned!$B$2:$B$176,A27,Tracker_Cleaned!$T$2:$T$176,"Late")+COUNTIFS(Tracker_Cleaned!$B$2:$B$176,A27,Tracker_Cleaned!$T$2:$T$176,"Overdue")</f>
        <v>0</v>
      </c>
      <c r="J27" s="11" t="n">
        <f aca="false">COUNTIFS(Tracker_Cleaned!$B$2:$B$176,A27,Tracker_Cleaned!$T$2:$T$176,"No deadline")</f>
        <v>2</v>
      </c>
      <c r="K27" s="11"/>
    </row>
    <row r="28" customFormat="false" ht="15" hidden="false" customHeight="true" outlineLevel="0" collapsed="false">
      <c r="A28" s="11" t="s">
        <v>1372</v>
      </c>
      <c r="B28" s="11" t="s">
        <v>1373</v>
      </c>
      <c r="C28" s="11" t="s">
        <v>662</v>
      </c>
      <c r="D28" s="11" t="s">
        <v>1344</v>
      </c>
      <c r="E28" s="11" t="s">
        <v>1270</v>
      </c>
      <c r="F28" s="11" t="n">
        <f aca="false">COUNTIF(Tracker_Cleaned!$B$2:$B$176,A28)</f>
        <v>4</v>
      </c>
      <c r="G28" s="11" t="n">
        <f aca="false">COUNTIFS(Tracker_Cleaned!$B$2:$B$176,A28,Tracker_Cleaned!$S$2:$S$176,"Completed")</f>
        <v>0</v>
      </c>
      <c r="H28" s="11" t="n">
        <f aca="false">COUNTIFS(Tracker_Cleaned!$B$2:$B$176,A28,Tracker_Cleaned!$S$2:$S$176,"Blocked")</f>
        <v>0</v>
      </c>
      <c r="I28" s="11" t="n">
        <f aca="false">COUNTIFS(Tracker_Cleaned!$B$2:$B$176,A28,Tracker_Cleaned!$T$2:$T$176,"Late")+COUNTIFS(Tracker_Cleaned!$B$2:$B$176,A28,Tracker_Cleaned!$T$2:$T$176,"Overdue")</f>
        <v>4</v>
      </c>
      <c r="J28" s="11" t="n">
        <f aca="false">COUNTIFS(Tracker_Cleaned!$B$2:$B$176,A28,Tracker_Cleaned!$T$2:$T$176,"No deadline")</f>
        <v>0</v>
      </c>
      <c r="K28" s="11"/>
    </row>
    <row r="29" customFormat="false" ht="15" hidden="false" customHeight="true" outlineLevel="0" collapsed="false">
      <c r="A29" s="11" t="s">
        <v>1380</v>
      </c>
      <c r="B29" s="11" t="s">
        <v>1381</v>
      </c>
      <c r="C29" s="11" t="s">
        <v>662</v>
      </c>
      <c r="D29" s="11" t="s">
        <v>1344</v>
      </c>
      <c r="E29" s="11" t="s">
        <v>1251</v>
      </c>
      <c r="F29" s="11" t="n">
        <f aca="false">COUNTIF(Tracker_Cleaned!$B$2:$B$176,A29)</f>
        <v>2</v>
      </c>
      <c r="G29" s="11" t="n">
        <f aca="false">COUNTIFS(Tracker_Cleaned!$B$2:$B$176,A29,Tracker_Cleaned!$S$2:$S$176,"Completed")</f>
        <v>0</v>
      </c>
      <c r="H29" s="11" t="n">
        <f aca="false">COUNTIFS(Tracker_Cleaned!$B$2:$B$176,A29,Tracker_Cleaned!$S$2:$S$176,"Blocked")</f>
        <v>0</v>
      </c>
      <c r="I29" s="11" t="n">
        <f aca="false">COUNTIFS(Tracker_Cleaned!$B$2:$B$176,A29,Tracker_Cleaned!$T$2:$T$176,"Late")+COUNTIFS(Tracker_Cleaned!$B$2:$B$176,A29,Tracker_Cleaned!$T$2:$T$176,"Overdue")</f>
        <v>2</v>
      </c>
      <c r="J29" s="11" t="n">
        <f aca="false">COUNTIFS(Tracker_Cleaned!$B$2:$B$176,A29,Tracker_Cleaned!$T$2:$T$176,"No deadline")</f>
        <v>0</v>
      </c>
      <c r="K29" s="11"/>
    </row>
    <row r="30" customFormat="false" ht="15" hidden="false" customHeight="true" outlineLevel="0" collapsed="false">
      <c r="A30" s="11" t="s">
        <v>1387</v>
      </c>
      <c r="B30" s="11" t="s">
        <v>1388</v>
      </c>
      <c r="C30" s="11" t="s">
        <v>662</v>
      </c>
      <c r="D30" s="11" t="s">
        <v>1344</v>
      </c>
      <c r="E30" s="11" t="s">
        <v>1270</v>
      </c>
      <c r="F30" s="11" t="n">
        <f aca="false">COUNTIF(Tracker_Cleaned!$B$2:$B$176,A30)</f>
        <v>2</v>
      </c>
      <c r="G30" s="11" t="n">
        <f aca="false">COUNTIFS(Tracker_Cleaned!$B$2:$B$176,A30,Tracker_Cleaned!$S$2:$S$176,"Completed")</f>
        <v>0</v>
      </c>
      <c r="H30" s="11" t="n">
        <f aca="false">COUNTIFS(Tracker_Cleaned!$B$2:$B$176,A30,Tracker_Cleaned!$S$2:$S$176,"Blocked")</f>
        <v>0</v>
      </c>
      <c r="I30" s="11" t="n">
        <f aca="false">COUNTIFS(Tracker_Cleaned!$B$2:$B$176,A30,Tracker_Cleaned!$T$2:$T$176,"Late")+COUNTIFS(Tracker_Cleaned!$B$2:$B$176,A30,Tracker_Cleaned!$T$2:$T$176,"Overdue")</f>
        <v>0</v>
      </c>
      <c r="J30" s="11" t="n">
        <f aca="false">COUNTIFS(Tracker_Cleaned!$B$2:$B$176,A30,Tracker_Cleaned!$T$2:$T$176,"No deadline")</f>
        <v>2</v>
      </c>
      <c r="K30" s="11"/>
    </row>
    <row r="31" customFormat="false" ht="15" hidden="false" customHeight="true" outlineLevel="0" collapsed="false">
      <c r="A31" s="11" t="s">
        <v>1391</v>
      </c>
      <c r="B31" s="11" t="s">
        <v>1392</v>
      </c>
      <c r="C31" s="11" t="s">
        <v>96</v>
      </c>
      <c r="D31" s="12"/>
      <c r="E31" s="11" t="s">
        <v>1251</v>
      </c>
      <c r="F31" s="11" t="n">
        <f aca="false">COUNTIF(Tracker_Cleaned!$B$2:$B$176,A31)</f>
        <v>5</v>
      </c>
      <c r="G31" s="11" t="n">
        <f aca="false">COUNTIFS(Tracker_Cleaned!$B$2:$B$176,A31,Tracker_Cleaned!$S$2:$S$176,"Completed")</f>
        <v>0</v>
      </c>
      <c r="H31" s="11" t="n">
        <f aca="false">COUNTIFS(Tracker_Cleaned!$B$2:$B$176,A31,Tracker_Cleaned!$S$2:$S$176,"Blocked")</f>
        <v>5</v>
      </c>
      <c r="I31" s="11" t="n">
        <f aca="false">COUNTIFS(Tracker_Cleaned!$B$2:$B$176,A31,Tracker_Cleaned!$T$2:$T$176,"Late")+COUNTIFS(Tracker_Cleaned!$B$2:$B$176,A31,Tracker_Cleaned!$T$2:$T$176,"Overdue")</f>
        <v>5</v>
      </c>
      <c r="J31" s="11" t="n">
        <f aca="false">COUNTIFS(Tracker_Cleaned!$B$2:$B$176,A31,Tracker_Cleaned!$T$2:$T$176,"No deadline")</f>
        <v>0</v>
      </c>
      <c r="K31" s="11" t="s">
        <v>1607</v>
      </c>
    </row>
    <row r="32" customFormat="false" ht="15" hidden="false" customHeight="true" outlineLevel="0" collapsed="false">
      <c r="A32" s="11" t="s">
        <v>1402</v>
      </c>
      <c r="B32" s="11" t="s">
        <v>1403</v>
      </c>
      <c r="C32" s="11" t="s">
        <v>96</v>
      </c>
      <c r="D32" s="12"/>
      <c r="E32" s="11" t="s">
        <v>1251</v>
      </c>
      <c r="F32" s="11" t="n">
        <f aca="false">COUNTIF(Tracker_Cleaned!$B$2:$B$176,A32)</f>
        <v>4</v>
      </c>
      <c r="G32" s="11" t="n">
        <f aca="false">COUNTIFS(Tracker_Cleaned!$B$2:$B$176,A32,Tracker_Cleaned!$S$2:$S$176,"Completed")</f>
        <v>0</v>
      </c>
      <c r="H32" s="11" t="n">
        <f aca="false">COUNTIFS(Tracker_Cleaned!$B$2:$B$176,A32,Tracker_Cleaned!$S$2:$S$176,"Blocked")</f>
        <v>0</v>
      </c>
      <c r="I32" s="11" t="n">
        <f aca="false">COUNTIFS(Tracker_Cleaned!$B$2:$B$176,A32,Tracker_Cleaned!$T$2:$T$176,"Late")+COUNTIFS(Tracker_Cleaned!$B$2:$B$176,A32,Tracker_Cleaned!$T$2:$T$176,"Overdue")</f>
        <v>4</v>
      </c>
      <c r="J32" s="11" t="n">
        <f aca="false">COUNTIFS(Tracker_Cleaned!$B$2:$B$176,A32,Tracker_Cleaned!$T$2:$T$176,"No deadline")</f>
        <v>0</v>
      </c>
      <c r="K32" s="11" t="s">
        <v>1607</v>
      </c>
    </row>
    <row r="33" customFormat="false" ht="15" hidden="false" customHeight="true" outlineLevel="0" collapsed="false">
      <c r="A33" s="11" t="s">
        <v>1409</v>
      </c>
      <c r="B33" s="11" t="s">
        <v>1410</v>
      </c>
      <c r="C33" s="11" t="s">
        <v>96</v>
      </c>
      <c r="D33" s="12"/>
      <c r="E33" s="11" t="s">
        <v>1270</v>
      </c>
      <c r="F33" s="11" t="n">
        <f aca="false">COUNTIF(Tracker_Cleaned!$B$2:$B$176,A33)</f>
        <v>3</v>
      </c>
      <c r="G33" s="11" t="n">
        <f aca="false">COUNTIFS(Tracker_Cleaned!$B$2:$B$176,A33,Tracker_Cleaned!$S$2:$S$176,"Completed")</f>
        <v>0</v>
      </c>
      <c r="H33" s="11" t="n">
        <f aca="false">COUNTIFS(Tracker_Cleaned!$B$2:$B$176,A33,Tracker_Cleaned!$S$2:$S$176,"Blocked")</f>
        <v>0</v>
      </c>
      <c r="I33" s="11" t="n">
        <f aca="false">COUNTIFS(Tracker_Cleaned!$B$2:$B$176,A33,Tracker_Cleaned!$T$2:$T$176,"Late")+COUNTIFS(Tracker_Cleaned!$B$2:$B$176,A33,Tracker_Cleaned!$T$2:$T$176,"Overdue")</f>
        <v>0</v>
      </c>
      <c r="J33" s="11" t="n">
        <f aca="false">COUNTIFS(Tracker_Cleaned!$B$2:$B$176,A33,Tracker_Cleaned!$T$2:$T$176,"No deadline")</f>
        <v>0</v>
      </c>
      <c r="K33" s="11" t="s">
        <v>1607</v>
      </c>
    </row>
    <row r="34" customFormat="false" ht="15" hidden="false" customHeight="true" outlineLevel="0" collapsed="false">
      <c r="A34" s="11" t="s">
        <v>1416</v>
      </c>
      <c r="B34" s="11" t="s">
        <v>1417</v>
      </c>
      <c r="C34" s="11" t="s">
        <v>96</v>
      </c>
      <c r="D34" s="12"/>
      <c r="E34" s="11" t="s">
        <v>1251</v>
      </c>
      <c r="F34" s="11" t="n">
        <f aca="false">COUNTIF(Tracker_Cleaned!$B$2:$B$176,A34)</f>
        <v>3</v>
      </c>
      <c r="G34" s="11" t="n">
        <f aca="false">COUNTIFS(Tracker_Cleaned!$B$2:$B$176,A34,Tracker_Cleaned!$S$2:$S$176,"Completed")</f>
        <v>0</v>
      </c>
      <c r="H34" s="11" t="n">
        <f aca="false">COUNTIFS(Tracker_Cleaned!$B$2:$B$176,A34,Tracker_Cleaned!$S$2:$S$176,"Blocked")</f>
        <v>0</v>
      </c>
      <c r="I34" s="11" t="n">
        <f aca="false">COUNTIFS(Tracker_Cleaned!$B$2:$B$176,A34,Tracker_Cleaned!$T$2:$T$176,"Late")+COUNTIFS(Tracker_Cleaned!$B$2:$B$176,A34,Tracker_Cleaned!$T$2:$T$176,"Overdue")</f>
        <v>3</v>
      </c>
      <c r="J34" s="11" t="n">
        <f aca="false">COUNTIFS(Tracker_Cleaned!$B$2:$B$176,A34,Tracker_Cleaned!$T$2:$T$176,"No deadline")</f>
        <v>0</v>
      </c>
      <c r="K34" s="11" t="s">
        <v>1607</v>
      </c>
    </row>
    <row r="35" customFormat="false" ht="15" hidden="false" customHeight="true" outlineLevel="0" collapsed="false">
      <c r="A35" s="11" t="s">
        <v>1423</v>
      </c>
      <c r="B35" s="11" t="s">
        <v>1424</v>
      </c>
      <c r="C35" s="11" t="s">
        <v>96</v>
      </c>
      <c r="D35" s="12"/>
      <c r="E35" s="11" t="s">
        <v>1251</v>
      </c>
      <c r="F35" s="11" t="n">
        <f aca="false">COUNTIF(Tracker_Cleaned!$B$2:$B$176,A35)</f>
        <v>2</v>
      </c>
      <c r="G35" s="11" t="n">
        <f aca="false">COUNTIFS(Tracker_Cleaned!$B$2:$B$176,A35,Tracker_Cleaned!$S$2:$S$176,"Completed")</f>
        <v>0</v>
      </c>
      <c r="H35" s="11" t="n">
        <f aca="false">COUNTIFS(Tracker_Cleaned!$B$2:$B$176,A35,Tracker_Cleaned!$S$2:$S$176,"Blocked")</f>
        <v>0</v>
      </c>
      <c r="I35" s="11" t="n">
        <f aca="false">COUNTIFS(Tracker_Cleaned!$B$2:$B$176,A35,Tracker_Cleaned!$T$2:$T$176,"Late")+COUNTIFS(Tracker_Cleaned!$B$2:$B$176,A35,Tracker_Cleaned!$T$2:$T$176,"Overdue")</f>
        <v>2</v>
      </c>
      <c r="J35" s="11" t="n">
        <f aca="false">COUNTIFS(Tracker_Cleaned!$B$2:$B$176,A35,Tracker_Cleaned!$T$2:$T$176,"No deadline")</f>
        <v>0</v>
      </c>
      <c r="K35" s="11" t="s">
        <v>1607</v>
      </c>
    </row>
    <row r="36" customFormat="false" ht="15" hidden="false" customHeight="true" outlineLevel="0" collapsed="false">
      <c r="A36" s="11" t="s">
        <v>1428</v>
      </c>
      <c r="B36" s="11" t="s">
        <v>1429</v>
      </c>
      <c r="C36" s="11" t="s">
        <v>96</v>
      </c>
      <c r="D36" s="12"/>
      <c r="E36" s="11" t="s">
        <v>1251</v>
      </c>
      <c r="F36" s="11" t="n">
        <f aca="false">COUNTIF(Tracker_Cleaned!$B$2:$B$176,A36)</f>
        <v>3</v>
      </c>
      <c r="G36" s="11" t="n">
        <f aca="false">COUNTIFS(Tracker_Cleaned!$B$2:$B$176,A36,Tracker_Cleaned!$S$2:$S$176,"Completed")</f>
        <v>0</v>
      </c>
      <c r="H36" s="11" t="n">
        <f aca="false">COUNTIFS(Tracker_Cleaned!$B$2:$B$176,A36,Tracker_Cleaned!$S$2:$S$176,"Blocked")</f>
        <v>0</v>
      </c>
      <c r="I36" s="11" t="n">
        <f aca="false">COUNTIFS(Tracker_Cleaned!$B$2:$B$176,A36,Tracker_Cleaned!$T$2:$T$176,"Late")+COUNTIFS(Tracker_Cleaned!$B$2:$B$176,A36,Tracker_Cleaned!$T$2:$T$176,"Overdue")</f>
        <v>3</v>
      </c>
      <c r="J36" s="11" t="n">
        <f aca="false">COUNTIFS(Tracker_Cleaned!$B$2:$B$176,A36,Tracker_Cleaned!$T$2:$T$176,"No deadline")</f>
        <v>0</v>
      </c>
      <c r="K36" s="11" t="s">
        <v>1607</v>
      </c>
    </row>
    <row r="37" customFormat="false" ht="15" hidden="false" customHeight="true" outlineLevel="0" collapsed="false">
      <c r="A37" s="11" t="s">
        <v>1433</v>
      </c>
      <c r="B37" s="11" t="s">
        <v>1434</v>
      </c>
      <c r="C37" s="11" t="s">
        <v>830</v>
      </c>
      <c r="D37" s="11" t="s">
        <v>828</v>
      </c>
      <c r="E37" s="12"/>
      <c r="F37" s="11" t="n">
        <f aca="false">COUNTIF(Tracker_Cleaned!$B$2:$B$176,A37)</f>
        <v>9</v>
      </c>
      <c r="G37" s="11" t="n">
        <f aca="false">COUNTIFS(Tracker_Cleaned!$B$2:$B$176,A37,Tracker_Cleaned!$S$2:$S$176,"Completed")</f>
        <v>0</v>
      </c>
      <c r="H37" s="11" t="n">
        <f aca="false">COUNTIFS(Tracker_Cleaned!$B$2:$B$176,A37,Tracker_Cleaned!$S$2:$S$176,"Blocked")</f>
        <v>0</v>
      </c>
      <c r="I37" s="11" t="n">
        <f aca="false">COUNTIFS(Tracker_Cleaned!$B$2:$B$176,A37,Tracker_Cleaned!$T$2:$T$176,"Late")+COUNTIFS(Tracker_Cleaned!$B$2:$B$176,A37,Tracker_Cleaned!$T$2:$T$176,"Overdue")</f>
        <v>3</v>
      </c>
      <c r="J37" s="11" t="n">
        <f aca="false">COUNTIFS(Tracker_Cleaned!$B$2:$B$176,A37,Tracker_Cleaned!$T$2:$T$176,"No deadline")</f>
        <v>6</v>
      </c>
      <c r="K37" s="11" t="s">
        <v>1608</v>
      </c>
    </row>
    <row r="38" customFormat="false" ht="15" hidden="false" customHeight="true" outlineLevel="0" collapsed="false">
      <c r="A38" s="11" t="s">
        <v>1445</v>
      </c>
      <c r="B38" s="11" t="s">
        <v>1446</v>
      </c>
      <c r="C38" s="11" t="s">
        <v>830</v>
      </c>
      <c r="D38" s="11" t="s">
        <v>828</v>
      </c>
      <c r="E38" s="12"/>
      <c r="F38" s="11" t="n">
        <f aca="false">COUNTIF(Tracker_Cleaned!$B$2:$B$176,A38)</f>
        <v>9</v>
      </c>
      <c r="G38" s="11" t="n">
        <f aca="false">COUNTIFS(Tracker_Cleaned!$B$2:$B$176,A38,Tracker_Cleaned!$S$2:$S$176,"Completed")</f>
        <v>0</v>
      </c>
      <c r="H38" s="11" t="n">
        <f aca="false">COUNTIFS(Tracker_Cleaned!$B$2:$B$176,A38,Tracker_Cleaned!$S$2:$S$176,"Blocked")</f>
        <v>0</v>
      </c>
      <c r="I38" s="11" t="n">
        <f aca="false">COUNTIFS(Tracker_Cleaned!$B$2:$B$176,A38,Tracker_Cleaned!$T$2:$T$176,"Late")+COUNTIFS(Tracker_Cleaned!$B$2:$B$176,A38,Tracker_Cleaned!$T$2:$T$176,"Overdue")</f>
        <v>0</v>
      </c>
      <c r="J38" s="11" t="n">
        <f aca="false">COUNTIFS(Tracker_Cleaned!$B$2:$B$176,A38,Tracker_Cleaned!$T$2:$T$176,"No deadline")</f>
        <v>9</v>
      </c>
      <c r="K38" s="11" t="s">
        <v>1608</v>
      </c>
    </row>
    <row r="39" customFormat="false" ht="15" hidden="false" customHeight="true" outlineLevel="0" collapsed="false">
      <c r="A39" s="11" t="s">
        <v>1454</v>
      </c>
      <c r="B39" s="11" t="s">
        <v>1455</v>
      </c>
      <c r="C39" s="11" t="s">
        <v>830</v>
      </c>
      <c r="D39" s="11" t="s">
        <v>828</v>
      </c>
      <c r="E39" s="12"/>
      <c r="F39" s="11" t="n">
        <f aca="false">COUNTIF(Tracker_Cleaned!$B$2:$B$176,A39)</f>
        <v>6</v>
      </c>
      <c r="G39" s="11" t="n">
        <f aca="false">COUNTIFS(Tracker_Cleaned!$B$2:$B$176,A39,Tracker_Cleaned!$S$2:$S$176,"Completed")</f>
        <v>0</v>
      </c>
      <c r="H39" s="11" t="n">
        <f aca="false">COUNTIFS(Tracker_Cleaned!$B$2:$B$176,A39,Tracker_Cleaned!$S$2:$S$176,"Blocked")</f>
        <v>0</v>
      </c>
      <c r="I39" s="11" t="n">
        <f aca="false">COUNTIFS(Tracker_Cleaned!$B$2:$B$176,A39,Tracker_Cleaned!$T$2:$T$176,"Late")+COUNTIFS(Tracker_Cleaned!$B$2:$B$176,A39,Tracker_Cleaned!$T$2:$T$176,"Overdue")</f>
        <v>0</v>
      </c>
      <c r="J39" s="11" t="n">
        <f aca="false">COUNTIFS(Tracker_Cleaned!$B$2:$B$176,A39,Tracker_Cleaned!$T$2:$T$176,"No deadline")</f>
        <v>6</v>
      </c>
      <c r="K39" s="11" t="s">
        <v>1608</v>
      </c>
    </row>
    <row r="40" customFormat="false" ht="15" hidden="false" customHeight="true" outlineLevel="0" collapsed="false">
      <c r="A40" s="11" t="s">
        <v>1460</v>
      </c>
      <c r="B40" s="11" t="s">
        <v>1461</v>
      </c>
      <c r="C40" s="11" t="s">
        <v>830</v>
      </c>
      <c r="D40" s="11" t="s">
        <v>828</v>
      </c>
      <c r="E40" s="12"/>
      <c r="F40" s="11" t="n">
        <f aca="false">COUNTIF(Tracker_Cleaned!$B$2:$B$176,A40)</f>
        <v>6</v>
      </c>
      <c r="G40" s="11" t="n">
        <f aca="false">COUNTIFS(Tracker_Cleaned!$B$2:$B$176,A40,Tracker_Cleaned!$S$2:$S$176,"Completed")</f>
        <v>0</v>
      </c>
      <c r="H40" s="11" t="n">
        <f aca="false">COUNTIFS(Tracker_Cleaned!$B$2:$B$176,A40,Tracker_Cleaned!$S$2:$S$176,"Blocked")</f>
        <v>0</v>
      </c>
      <c r="I40" s="11" t="n">
        <f aca="false">COUNTIFS(Tracker_Cleaned!$B$2:$B$176,A40,Tracker_Cleaned!$T$2:$T$176,"Late")+COUNTIFS(Tracker_Cleaned!$B$2:$B$176,A40,Tracker_Cleaned!$T$2:$T$176,"Overdue")</f>
        <v>0</v>
      </c>
      <c r="J40" s="11" t="n">
        <f aca="false">COUNTIFS(Tracker_Cleaned!$B$2:$B$176,A40,Tracker_Cleaned!$T$2:$T$176,"No deadline")</f>
        <v>6</v>
      </c>
      <c r="K40" s="11" t="s">
        <v>1608</v>
      </c>
    </row>
    <row r="41" customFormat="false" ht="15" hidden="false" customHeight="true" outlineLevel="0" collapsed="false">
      <c r="A41" s="11" t="s">
        <v>1469</v>
      </c>
      <c r="B41" s="11" t="s">
        <v>1470</v>
      </c>
      <c r="C41" s="11" t="s">
        <v>830</v>
      </c>
      <c r="D41" s="11" t="s">
        <v>828</v>
      </c>
      <c r="E41" s="12"/>
      <c r="F41" s="11" t="n">
        <f aca="false">COUNTIF(Tracker_Cleaned!$B$2:$B$176,A41)</f>
        <v>9</v>
      </c>
      <c r="G41" s="11" t="n">
        <f aca="false">COUNTIFS(Tracker_Cleaned!$B$2:$B$176,A41,Tracker_Cleaned!$S$2:$S$176,"Completed")</f>
        <v>0</v>
      </c>
      <c r="H41" s="11" t="n">
        <f aca="false">COUNTIFS(Tracker_Cleaned!$B$2:$B$176,A41,Tracker_Cleaned!$S$2:$S$176,"Blocked")</f>
        <v>0</v>
      </c>
      <c r="I41" s="11" t="n">
        <f aca="false">COUNTIFS(Tracker_Cleaned!$B$2:$B$176,A41,Tracker_Cleaned!$T$2:$T$176,"Late")+COUNTIFS(Tracker_Cleaned!$B$2:$B$176,A41,Tracker_Cleaned!$T$2:$T$176,"Overdue")</f>
        <v>0</v>
      </c>
      <c r="J41" s="11" t="n">
        <f aca="false">COUNTIFS(Tracker_Cleaned!$B$2:$B$176,A41,Tracker_Cleaned!$T$2:$T$176,"No deadline")</f>
        <v>9</v>
      </c>
      <c r="K41" s="11" t="s">
        <v>1608</v>
      </c>
    </row>
    <row r="42" customFormat="false" ht="15" hidden="false" customHeight="true" outlineLevel="0" collapsed="false">
      <c r="A42" s="11" t="s">
        <v>1479</v>
      </c>
      <c r="B42" s="11" t="s">
        <v>1480</v>
      </c>
      <c r="C42" s="11" t="s">
        <v>830</v>
      </c>
      <c r="D42" s="11" t="s">
        <v>828</v>
      </c>
      <c r="E42" s="12"/>
      <c r="F42" s="11" t="n">
        <f aca="false">COUNTIF(Tracker_Cleaned!$B$2:$B$176,A42)</f>
        <v>6</v>
      </c>
      <c r="G42" s="11" t="n">
        <f aca="false">COUNTIFS(Tracker_Cleaned!$B$2:$B$176,A42,Tracker_Cleaned!$S$2:$S$176,"Completed")</f>
        <v>0</v>
      </c>
      <c r="H42" s="11" t="n">
        <f aca="false">COUNTIFS(Tracker_Cleaned!$B$2:$B$176,A42,Tracker_Cleaned!$S$2:$S$176,"Blocked")</f>
        <v>0</v>
      </c>
      <c r="I42" s="11" t="n">
        <f aca="false">COUNTIFS(Tracker_Cleaned!$B$2:$B$176,A42,Tracker_Cleaned!$T$2:$T$176,"Late")+COUNTIFS(Tracker_Cleaned!$B$2:$B$176,A42,Tracker_Cleaned!$T$2:$T$176,"Overdue")</f>
        <v>0</v>
      </c>
      <c r="J42" s="11" t="n">
        <f aca="false">COUNTIFS(Tracker_Cleaned!$B$2:$B$176,A42,Tracker_Cleaned!$T$2:$T$176,"No deadline")</f>
        <v>6</v>
      </c>
      <c r="K42" s="11" t="s">
        <v>1608</v>
      </c>
    </row>
    <row r="43" customFormat="false" ht="15" hidden="false" customHeight="true" outlineLevel="0" collapsed="false">
      <c r="A43" s="11" t="s">
        <v>1487</v>
      </c>
      <c r="B43" s="11" t="s">
        <v>1488</v>
      </c>
      <c r="C43" s="11" t="s">
        <v>830</v>
      </c>
      <c r="D43" s="11" t="s">
        <v>828</v>
      </c>
      <c r="E43" s="12"/>
      <c r="F43" s="11" t="n">
        <f aca="false">COUNTIF(Tracker_Cleaned!$B$2:$B$176,A43)</f>
        <v>3</v>
      </c>
      <c r="G43" s="11" t="n">
        <f aca="false">COUNTIFS(Tracker_Cleaned!$B$2:$B$176,A43,Tracker_Cleaned!$S$2:$S$176,"Completed")</f>
        <v>0</v>
      </c>
      <c r="H43" s="11" t="n">
        <f aca="false">COUNTIFS(Tracker_Cleaned!$B$2:$B$176,A43,Tracker_Cleaned!$S$2:$S$176,"Blocked")</f>
        <v>0</v>
      </c>
      <c r="I43" s="11" t="n">
        <f aca="false">COUNTIFS(Tracker_Cleaned!$B$2:$B$176,A43,Tracker_Cleaned!$T$2:$T$176,"Late")+COUNTIFS(Tracker_Cleaned!$B$2:$B$176,A43,Tracker_Cleaned!$T$2:$T$176,"Overdue")</f>
        <v>0</v>
      </c>
      <c r="J43" s="11" t="n">
        <f aca="false">COUNTIFS(Tracker_Cleaned!$B$2:$B$176,A43,Tracker_Cleaned!$T$2:$T$176,"No deadline")</f>
        <v>3</v>
      </c>
      <c r="K43" s="11" t="s">
        <v>1608</v>
      </c>
    </row>
    <row r="44" customFormat="false" ht="15" hidden="false" customHeight="true" outlineLevel="0" collapsed="false">
      <c r="A44" s="11" t="s">
        <v>1496</v>
      </c>
      <c r="B44" s="11" t="s">
        <v>1497</v>
      </c>
      <c r="C44" s="11" t="s">
        <v>830</v>
      </c>
      <c r="D44" s="11" t="s">
        <v>828</v>
      </c>
      <c r="E44" s="12"/>
      <c r="F44" s="11" t="n">
        <f aca="false">COUNTIF(Tracker_Cleaned!$B$2:$B$176,A44)</f>
        <v>6</v>
      </c>
      <c r="G44" s="11" t="n">
        <f aca="false">COUNTIFS(Tracker_Cleaned!$B$2:$B$176,A44,Tracker_Cleaned!$S$2:$S$176,"Completed")</f>
        <v>0</v>
      </c>
      <c r="H44" s="11" t="n">
        <f aca="false">COUNTIFS(Tracker_Cleaned!$B$2:$B$176,A44,Tracker_Cleaned!$S$2:$S$176,"Blocked")</f>
        <v>0</v>
      </c>
      <c r="I44" s="11" t="n">
        <f aca="false">COUNTIFS(Tracker_Cleaned!$B$2:$B$176,A44,Tracker_Cleaned!$T$2:$T$176,"Late")+COUNTIFS(Tracker_Cleaned!$B$2:$B$176,A44,Tracker_Cleaned!$T$2:$T$176,"Overdue")</f>
        <v>0</v>
      </c>
      <c r="J44" s="11" t="n">
        <f aca="false">COUNTIFS(Tracker_Cleaned!$B$2:$B$176,A44,Tracker_Cleaned!$T$2:$T$176,"No deadline")</f>
        <v>6</v>
      </c>
      <c r="K44" s="11" t="s">
        <v>1608</v>
      </c>
    </row>
    <row r="45" customFormat="false" ht="15" hidden="false" customHeight="true" outlineLevel="0" collapsed="false">
      <c r="A45" s="11" t="s">
        <v>1501</v>
      </c>
      <c r="B45" s="11" t="s">
        <v>1502</v>
      </c>
      <c r="C45" s="11" t="s">
        <v>830</v>
      </c>
      <c r="D45" s="11" t="s">
        <v>828</v>
      </c>
      <c r="E45" s="12"/>
      <c r="F45" s="11" t="n">
        <f aca="false">COUNTIF(Tracker_Cleaned!$B$2:$B$176,A45)</f>
        <v>3</v>
      </c>
      <c r="G45" s="11" t="n">
        <f aca="false">COUNTIFS(Tracker_Cleaned!$B$2:$B$176,A45,Tracker_Cleaned!$S$2:$S$176,"Completed")</f>
        <v>0</v>
      </c>
      <c r="H45" s="11" t="n">
        <f aca="false">COUNTIFS(Tracker_Cleaned!$B$2:$B$176,A45,Tracker_Cleaned!$S$2:$S$176,"Blocked")</f>
        <v>0</v>
      </c>
      <c r="I45" s="11" t="n">
        <f aca="false">COUNTIFS(Tracker_Cleaned!$B$2:$B$176,A45,Tracker_Cleaned!$T$2:$T$176,"Late")+COUNTIFS(Tracker_Cleaned!$B$2:$B$176,A45,Tracker_Cleaned!$T$2:$T$176,"Overdue")</f>
        <v>0</v>
      </c>
      <c r="J45" s="11" t="n">
        <f aca="false">COUNTIFS(Tracker_Cleaned!$B$2:$B$176,A45,Tracker_Cleaned!$T$2:$T$176,"No deadline")</f>
        <v>3</v>
      </c>
      <c r="K45" s="11" t="s">
        <v>1608</v>
      </c>
    </row>
    <row r="46" customFormat="false" ht="15" hidden="false" customHeight="true" outlineLevel="0" collapsed="false">
      <c r="A46" s="11" t="s">
        <v>1506</v>
      </c>
      <c r="B46" s="11" t="s">
        <v>1507</v>
      </c>
      <c r="C46" s="11" t="s">
        <v>830</v>
      </c>
      <c r="D46" s="11" t="s">
        <v>828</v>
      </c>
      <c r="E46" s="12"/>
      <c r="F46" s="11" t="n">
        <f aca="false">COUNTIF(Tracker_Cleaned!$B$2:$B$176,A46)</f>
        <v>6</v>
      </c>
      <c r="G46" s="11" t="n">
        <f aca="false">COUNTIFS(Tracker_Cleaned!$B$2:$B$176,A46,Tracker_Cleaned!$S$2:$S$176,"Completed")</f>
        <v>0</v>
      </c>
      <c r="H46" s="11" t="n">
        <f aca="false">COUNTIFS(Tracker_Cleaned!$B$2:$B$176,A46,Tracker_Cleaned!$S$2:$S$176,"Blocked")</f>
        <v>6</v>
      </c>
      <c r="I46" s="11" t="n">
        <f aca="false">COUNTIFS(Tracker_Cleaned!$B$2:$B$176,A46,Tracker_Cleaned!$T$2:$T$176,"Late")+COUNTIFS(Tracker_Cleaned!$B$2:$B$176,A46,Tracker_Cleaned!$T$2:$T$176,"Overdue")</f>
        <v>0</v>
      </c>
      <c r="J46" s="11" t="n">
        <f aca="false">COUNTIFS(Tracker_Cleaned!$B$2:$B$176,A46,Tracker_Cleaned!$T$2:$T$176,"No deadline")</f>
        <v>6</v>
      </c>
      <c r="K46" s="11" t="s">
        <v>1608</v>
      </c>
    </row>
    <row r="47" customFormat="false" ht="15" hidden="false" customHeight="true" outlineLevel="0" collapsed="false">
      <c r="A47" s="11" t="s">
        <v>1514</v>
      </c>
      <c r="B47" s="11" t="s">
        <v>1515</v>
      </c>
      <c r="C47" s="11" t="s">
        <v>830</v>
      </c>
      <c r="D47" s="11" t="s">
        <v>828</v>
      </c>
      <c r="E47" s="12"/>
      <c r="F47" s="11" t="n">
        <f aca="false">COUNTIF(Tracker_Cleaned!$B$2:$B$176,A47)</f>
        <v>3</v>
      </c>
      <c r="G47" s="11" t="n">
        <f aca="false">COUNTIFS(Tracker_Cleaned!$B$2:$B$176,A47,Tracker_Cleaned!$S$2:$S$176,"Completed")</f>
        <v>0</v>
      </c>
      <c r="H47" s="11" t="n">
        <f aca="false">COUNTIFS(Tracker_Cleaned!$B$2:$B$176,A47,Tracker_Cleaned!$S$2:$S$176,"Blocked")</f>
        <v>0</v>
      </c>
      <c r="I47" s="11" t="n">
        <f aca="false">COUNTIFS(Tracker_Cleaned!$B$2:$B$176,A47,Tracker_Cleaned!$T$2:$T$176,"Late")+COUNTIFS(Tracker_Cleaned!$B$2:$B$176,A47,Tracker_Cleaned!$T$2:$T$176,"Overdue")</f>
        <v>0</v>
      </c>
      <c r="J47" s="11" t="n">
        <f aca="false">COUNTIFS(Tracker_Cleaned!$B$2:$B$176,A47,Tracker_Cleaned!$T$2:$T$176,"No deadline")</f>
        <v>3</v>
      </c>
      <c r="K47" s="11" t="s">
        <v>1608</v>
      </c>
    </row>
    <row r="48" customFormat="false" ht="15" hidden="false" customHeight="true" outlineLevel="0" collapsed="false">
      <c r="A48" s="11" t="s">
        <v>1520</v>
      </c>
      <c r="B48" s="11" t="s">
        <v>1521</v>
      </c>
      <c r="C48" s="11" t="s">
        <v>830</v>
      </c>
      <c r="D48" s="11" t="s">
        <v>828</v>
      </c>
      <c r="E48" s="12"/>
      <c r="F48" s="11" t="n">
        <f aca="false">COUNTIF(Tracker_Cleaned!$B$2:$B$176,A48)</f>
        <v>6</v>
      </c>
      <c r="G48" s="11" t="n">
        <f aca="false">COUNTIFS(Tracker_Cleaned!$B$2:$B$176,A48,Tracker_Cleaned!$S$2:$S$176,"Completed")</f>
        <v>0</v>
      </c>
      <c r="H48" s="11" t="n">
        <f aca="false">COUNTIFS(Tracker_Cleaned!$B$2:$B$176,A48,Tracker_Cleaned!$S$2:$S$176,"Blocked")</f>
        <v>0</v>
      </c>
      <c r="I48" s="11" t="n">
        <f aca="false">COUNTIFS(Tracker_Cleaned!$B$2:$B$176,A48,Tracker_Cleaned!$T$2:$T$176,"Late")+COUNTIFS(Tracker_Cleaned!$B$2:$B$176,A48,Tracker_Cleaned!$T$2:$T$176,"Overdue")</f>
        <v>0</v>
      </c>
      <c r="J48" s="11" t="n">
        <f aca="false">COUNTIFS(Tracker_Cleaned!$B$2:$B$176,A48,Tracker_Cleaned!$T$2:$T$176,"No deadline")</f>
        <v>6</v>
      </c>
      <c r="K48" s="11" t="s">
        <v>1608</v>
      </c>
    </row>
    <row r="49" customFormat="false" ht="15" hidden="false" customHeight="true" outlineLevel="0" collapsed="false">
      <c r="A49" s="11" t="s">
        <v>1525</v>
      </c>
      <c r="B49" s="11" t="s">
        <v>1526</v>
      </c>
      <c r="C49" s="11" t="s">
        <v>830</v>
      </c>
      <c r="D49" s="11" t="s">
        <v>828</v>
      </c>
      <c r="E49" s="12"/>
      <c r="F49" s="11" t="n">
        <f aca="false">COUNTIF(Tracker_Cleaned!$B$2:$B$176,A49)</f>
        <v>3</v>
      </c>
      <c r="G49" s="11" t="n">
        <f aca="false">COUNTIFS(Tracker_Cleaned!$B$2:$B$176,A49,Tracker_Cleaned!$S$2:$S$176,"Completed")</f>
        <v>0</v>
      </c>
      <c r="H49" s="11" t="n">
        <f aca="false">COUNTIFS(Tracker_Cleaned!$B$2:$B$176,A49,Tracker_Cleaned!$S$2:$S$176,"Blocked")</f>
        <v>0</v>
      </c>
      <c r="I49" s="11" t="n">
        <f aca="false">COUNTIFS(Tracker_Cleaned!$B$2:$B$176,A49,Tracker_Cleaned!$T$2:$T$176,"Late")+COUNTIFS(Tracker_Cleaned!$B$2:$B$176,A49,Tracker_Cleaned!$T$2:$T$176,"Overdue")</f>
        <v>0</v>
      </c>
      <c r="J49" s="11" t="n">
        <f aca="false">COUNTIFS(Tracker_Cleaned!$B$2:$B$176,A49,Tracker_Cleaned!$T$2:$T$176,"No deadline")</f>
        <v>3</v>
      </c>
      <c r="K49" s="11" t="s">
        <v>1608</v>
      </c>
    </row>
    <row r="50" customFormat="false" ht="15" hidden="false" customHeight="true" outlineLevel="0" collapsed="false">
      <c r="A50" s="11" t="s">
        <v>1533</v>
      </c>
      <c r="B50" s="11" t="s">
        <v>1534</v>
      </c>
      <c r="C50" s="11" t="s">
        <v>830</v>
      </c>
      <c r="D50" s="11" t="s">
        <v>828</v>
      </c>
      <c r="E50" s="12"/>
      <c r="F50" s="11" t="n">
        <f aca="false">COUNTIF(Tracker_Cleaned!$B$2:$B$176,A50)</f>
        <v>3</v>
      </c>
      <c r="G50" s="11" t="n">
        <f aca="false">COUNTIFS(Tracker_Cleaned!$B$2:$B$176,A50,Tracker_Cleaned!$S$2:$S$176,"Completed")</f>
        <v>0</v>
      </c>
      <c r="H50" s="11" t="n">
        <f aca="false">COUNTIFS(Tracker_Cleaned!$B$2:$B$176,A50,Tracker_Cleaned!$S$2:$S$176,"Blocked")</f>
        <v>0</v>
      </c>
      <c r="I50" s="11" t="n">
        <f aca="false">COUNTIFS(Tracker_Cleaned!$B$2:$B$176,A50,Tracker_Cleaned!$T$2:$T$176,"Late")+COUNTIFS(Tracker_Cleaned!$B$2:$B$176,A50,Tracker_Cleaned!$T$2:$T$176,"Overdue")</f>
        <v>0</v>
      </c>
      <c r="J50" s="11" t="n">
        <f aca="false">COUNTIFS(Tracker_Cleaned!$B$2:$B$176,A50,Tracker_Cleaned!$T$2:$T$176,"No deadline")</f>
        <v>3</v>
      </c>
      <c r="K50" s="11" t="s">
        <v>1608</v>
      </c>
    </row>
    <row r="51" customFormat="false" ht="15" hidden="false" customHeight="true" outlineLevel="0" collapsed="false">
      <c r="A51" s="11" t="s">
        <v>1540</v>
      </c>
      <c r="B51" s="11" t="s">
        <v>1541</v>
      </c>
      <c r="C51" s="11" t="s">
        <v>830</v>
      </c>
      <c r="D51" s="11" t="s">
        <v>828</v>
      </c>
      <c r="E51" s="12"/>
      <c r="F51" s="11" t="n">
        <f aca="false">COUNTIF(Tracker_Cleaned!$B$2:$B$176,A51)</f>
        <v>3</v>
      </c>
      <c r="G51" s="11" t="n">
        <f aca="false">COUNTIFS(Tracker_Cleaned!$B$2:$B$176,A51,Tracker_Cleaned!$S$2:$S$176,"Completed")</f>
        <v>0</v>
      </c>
      <c r="H51" s="11" t="n">
        <f aca="false">COUNTIFS(Tracker_Cleaned!$B$2:$B$176,A51,Tracker_Cleaned!$S$2:$S$176,"Blocked")</f>
        <v>0</v>
      </c>
      <c r="I51" s="11" t="n">
        <f aca="false">COUNTIFS(Tracker_Cleaned!$B$2:$B$176,A51,Tracker_Cleaned!$T$2:$T$176,"Late")+COUNTIFS(Tracker_Cleaned!$B$2:$B$176,A51,Tracker_Cleaned!$T$2:$T$176,"Overdue")</f>
        <v>0</v>
      </c>
      <c r="J51" s="11" t="n">
        <f aca="false">COUNTIFS(Tracker_Cleaned!$B$2:$B$176,A51,Tracker_Cleaned!$T$2:$T$176,"No deadline")</f>
        <v>3</v>
      </c>
      <c r="K51" s="11" t="s">
        <v>1608</v>
      </c>
    </row>
    <row r="52" customFormat="false" ht="15" hidden="false" customHeight="true" outlineLevel="0" collapsed="false">
      <c r="A52" s="11" t="s">
        <v>1545</v>
      </c>
      <c r="B52" s="11" t="s">
        <v>1546</v>
      </c>
      <c r="C52" s="11" t="s">
        <v>830</v>
      </c>
      <c r="D52" s="11" t="s">
        <v>828</v>
      </c>
      <c r="E52" s="12"/>
      <c r="F52" s="11" t="n">
        <f aca="false">COUNTIF(Tracker_Cleaned!$B$2:$B$176,A52)</f>
        <v>6</v>
      </c>
      <c r="G52" s="11" t="n">
        <f aca="false">COUNTIFS(Tracker_Cleaned!$B$2:$B$176,A52,Tracker_Cleaned!$S$2:$S$176,"Completed")</f>
        <v>0</v>
      </c>
      <c r="H52" s="11" t="n">
        <f aca="false">COUNTIFS(Tracker_Cleaned!$B$2:$B$176,A52,Tracker_Cleaned!$S$2:$S$176,"Blocked")</f>
        <v>0</v>
      </c>
      <c r="I52" s="11" t="n">
        <f aca="false">COUNTIFS(Tracker_Cleaned!$B$2:$B$176,A52,Tracker_Cleaned!$T$2:$T$176,"Late")+COUNTIFS(Tracker_Cleaned!$B$2:$B$176,A52,Tracker_Cleaned!$T$2:$T$176,"Overdue")</f>
        <v>0</v>
      </c>
      <c r="J52" s="11" t="n">
        <f aca="false">COUNTIFS(Tracker_Cleaned!$B$2:$B$176,A52,Tracker_Cleaned!$T$2:$T$176,"No deadline")</f>
        <v>6</v>
      </c>
      <c r="K52" s="11" t="s">
        <v>1608</v>
      </c>
    </row>
    <row r="53" customFormat="false" ht="15" hidden="false" customHeight="true" outlineLevel="0" collapsed="false">
      <c r="A53" s="11" t="s">
        <v>1552</v>
      </c>
      <c r="B53" s="11" t="s">
        <v>1553</v>
      </c>
      <c r="C53" s="11" t="s">
        <v>830</v>
      </c>
      <c r="D53" s="11" t="s">
        <v>828</v>
      </c>
      <c r="E53" s="12"/>
      <c r="F53" s="11" t="n">
        <f aca="false">COUNTIF(Tracker_Cleaned!$B$2:$B$176,A53)</f>
        <v>3</v>
      </c>
      <c r="G53" s="11" t="n">
        <f aca="false">COUNTIFS(Tracker_Cleaned!$B$2:$B$176,A53,Tracker_Cleaned!$S$2:$S$176,"Completed")</f>
        <v>3</v>
      </c>
      <c r="H53" s="11" t="n">
        <f aca="false">COUNTIFS(Tracker_Cleaned!$B$2:$B$176,A53,Tracker_Cleaned!$S$2:$S$176,"Blocked")</f>
        <v>0</v>
      </c>
      <c r="I53" s="11" t="n">
        <f aca="false">COUNTIFS(Tracker_Cleaned!$B$2:$B$176,A53,Tracker_Cleaned!$T$2:$T$176,"Late")+COUNTIFS(Tracker_Cleaned!$B$2:$B$176,A53,Tracker_Cleaned!$T$2:$T$176,"Overdue")</f>
        <v>0</v>
      </c>
      <c r="J53" s="11" t="n">
        <f aca="false">COUNTIFS(Tracker_Cleaned!$B$2:$B$176,A53,Tracker_Cleaned!$T$2:$T$176,"No deadline")</f>
        <v>3</v>
      </c>
      <c r="K53" s="11" t="s">
        <v>1608</v>
      </c>
    </row>
    <row r="54" customFormat="false" ht="15" hidden="false" customHeight="true" outlineLevel="0" collapsed="false">
      <c r="A54" s="11" t="s">
        <v>1557</v>
      </c>
      <c r="B54" s="11" t="s">
        <v>1558</v>
      </c>
      <c r="C54" s="11" t="s">
        <v>830</v>
      </c>
      <c r="D54" s="11" t="s">
        <v>828</v>
      </c>
      <c r="E54" s="12"/>
      <c r="F54" s="11" t="n">
        <f aca="false">COUNTIF(Tracker_Cleaned!$B$2:$B$176,A54)</f>
        <v>3</v>
      </c>
      <c r="G54" s="11" t="n">
        <f aca="false">COUNTIFS(Tracker_Cleaned!$B$2:$B$176,A54,Tracker_Cleaned!$S$2:$S$176,"Completed")</f>
        <v>0</v>
      </c>
      <c r="H54" s="11" t="n">
        <f aca="false">COUNTIFS(Tracker_Cleaned!$B$2:$B$176,A54,Tracker_Cleaned!$S$2:$S$176,"Blocked")</f>
        <v>0</v>
      </c>
      <c r="I54" s="11" t="n">
        <f aca="false">COUNTIFS(Tracker_Cleaned!$B$2:$B$176,A54,Tracker_Cleaned!$T$2:$T$176,"Late")+COUNTIFS(Tracker_Cleaned!$B$2:$B$176,A54,Tracker_Cleaned!$T$2:$T$176,"Overdue")</f>
        <v>0</v>
      </c>
      <c r="J54" s="11" t="n">
        <f aca="false">COUNTIFS(Tracker_Cleaned!$B$2:$B$176,A54,Tracker_Cleaned!$T$2:$T$176,"No deadline")</f>
        <v>3</v>
      </c>
      <c r="K54" s="11" t="s">
        <v>1608</v>
      </c>
    </row>
    <row r="55" customFormat="false" ht="15" hidden="false" customHeight="true" outlineLevel="0" collapsed="false">
      <c r="A55" s="11" t="s">
        <v>1562</v>
      </c>
      <c r="B55" s="11" t="s">
        <v>1563</v>
      </c>
      <c r="C55" s="11" t="s">
        <v>830</v>
      </c>
      <c r="D55" s="11" t="s">
        <v>828</v>
      </c>
      <c r="E55" s="12"/>
      <c r="F55" s="11" t="n">
        <f aca="false">COUNTIF(Tracker_Cleaned!$B$2:$B$176,A55)</f>
        <v>3</v>
      </c>
      <c r="G55" s="11" t="n">
        <f aca="false">COUNTIFS(Tracker_Cleaned!$B$2:$B$176,A55,Tracker_Cleaned!$S$2:$S$176,"Completed")</f>
        <v>0</v>
      </c>
      <c r="H55" s="11" t="n">
        <f aca="false">COUNTIFS(Tracker_Cleaned!$B$2:$B$176,A55,Tracker_Cleaned!$S$2:$S$176,"Blocked")</f>
        <v>0</v>
      </c>
      <c r="I55" s="11" t="n">
        <f aca="false">COUNTIFS(Tracker_Cleaned!$B$2:$B$176,A55,Tracker_Cleaned!$T$2:$T$176,"Late")+COUNTIFS(Tracker_Cleaned!$B$2:$B$176,A55,Tracker_Cleaned!$T$2:$T$176,"Overdue")</f>
        <v>0</v>
      </c>
      <c r="J55" s="11" t="n">
        <f aca="false">COUNTIFS(Tracker_Cleaned!$B$2:$B$176,A55,Tracker_Cleaned!$T$2:$T$176,"No deadline")</f>
        <v>3</v>
      </c>
      <c r="K55" s="11" t="s">
        <v>1608</v>
      </c>
    </row>
    <row r="56" customFormat="false" ht="15" hidden="false" customHeight="true" outlineLevel="0" collapsed="false">
      <c r="A56" s="11" t="s">
        <v>1568</v>
      </c>
      <c r="B56" s="11" t="s">
        <v>1569</v>
      </c>
      <c r="C56" s="11" t="s">
        <v>830</v>
      </c>
      <c r="D56" s="11" t="s">
        <v>828</v>
      </c>
      <c r="E56" s="12"/>
      <c r="F56" s="11" t="n">
        <f aca="false">COUNTIF(Tracker_Cleaned!$B$2:$B$176,A56)</f>
        <v>6</v>
      </c>
      <c r="G56" s="11" t="n">
        <f aca="false">COUNTIFS(Tracker_Cleaned!$B$2:$B$176,A56,Tracker_Cleaned!$S$2:$S$176,"Completed")</f>
        <v>0</v>
      </c>
      <c r="H56" s="11" t="n">
        <f aca="false">COUNTIFS(Tracker_Cleaned!$B$2:$B$176,A56,Tracker_Cleaned!$S$2:$S$176,"Blocked")</f>
        <v>0</v>
      </c>
      <c r="I56" s="11" t="n">
        <f aca="false">COUNTIFS(Tracker_Cleaned!$B$2:$B$176,A56,Tracker_Cleaned!$T$2:$T$176,"Late")+COUNTIFS(Tracker_Cleaned!$B$2:$B$176,A56,Tracker_Cleaned!$T$2:$T$176,"Overdue")</f>
        <v>0</v>
      </c>
      <c r="J56" s="11" t="n">
        <f aca="false">COUNTIFS(Tracker_Cleaned!$B$2:$B$176,A56,Tracker_Cleaned!$T$2:$T$176,"No deadline")</f>
        <v>6</v>
      </c>
      <c r="K56" s="11" t="s">
        <v>1608</v>
      </c>
    </row>
    <row r="57" customFormat="false" ht="15" hidden="false" customHeight="true" outlineLevel="0" collapsed="false">
      <c r="A57" s="11" t="s">
        <v>1575</v>
      </c>
      <c r="B57" s="11" t="s">
        <v>1576</v>
      </c>
      <c r="C57" s="11" t="s">
        <v>830</v>
      </c>
      <c r="D57" s="11" t="s">
        <v>828</v>
      </c>
      <c r="E57" s="12"/>
      <c r="F57" s="11" t="n">
        <f aca="false">COUNTIF(Tracker_Cleaned!$B$2:$B$176,A57)</f>
        <v>3</v>
      </c>
      <c r="G57" s="11" t="n">
        <f aca="false">COUNTIFS(Tracker_Cleaned!$B$2:$B$176,A57,Tracker_Cleaned!$S$2:$S$176,"Completed")</f>
        <v>0</v>
      </c>
      <c r="H57" s="11" t="n">
        <f aca="false">COUNTIFS(Tracker_Cleaned!$B$2:$B$176,A57,Tracker_Cleaned!$S$2:$S$176,"Blocked")</f>
        <v>0</v>
      </c>
      <c r="I57" s="11" t="n">
        <f aca="false">COUNTIFS(Tracker_Cleaned!$B$2:$B$176,A57,Tracker_Cleaned!$T$2:$T$176,"Late")+COUNTIFS(Tracker_Cleaned!$B$2:$B$176,A57,Tracker_Cleaned!$T$2:$T$176,"Overdue")</f>
        <v>0</v>
      </c>
      <c r="J57" s="11" t="n">
        <f aca="false">COUNTIFS(Tracker_Cleaned!$B$2:$B$176,A57,Tracker_Cleaned!$T$2:$T$176,"No deadline")</f>
        <v>3</v>
      </c>
      <c r="K57" s="11" t="s">
        <v>1608</v>
      </c>
    </row>
    <row r="58" customFormat="false" ht="15" hidden="false" customHeight="true" outlineLevel="0" collapsed="false">
      <c r="A58" s="11" t="s">
        <v>1581</v>
      </c>
      <c r="B58" s="11" t="s">
        <v>1582</v>
      </c>
      <c r="C58" s="11" t="s">
        <v>830</v>
      </c>
      <c r="D58" s="11" t="s">
        <v>828</v>
      </c>
      <c r="E58" s="12"/>
      <c r="F58" s="11" t="n">
        <f aca="false">COUNTIF(Tracker_Cleaned!$B$2:$B$176,A58)</f>
        <v>3</v>
      </c>
      <c r="G58" s="11" t="n">
        <f aca="false">COUNTIFS(Tracker_Cleaned!$B$2:$B$176,A58,Tracker_Cleaned!$S$2:$S$176,"Completed")</f>
        <v>0</v>
      </c>
      <c r="H58" s="11" t="n">
        <f aca="false">COUNTIFS(Tracker_Cleaned!$B$2:$B$176,A58,Tracker_Cleaned!$S$2:$S$176,"Blocked")</f>
        <v>0</v>
      </c>
      <c r="I58" s="11" t="n">
        <f aca="false">COUNTIFS(Tracker_Cleaned!$B$2:$B$176,A58,Tracker_Cleaned!$T$2:$T$176,"Late")+COUNTIFS(Tracker_Cleaned!$B$2:$B$176,A58,Tracker_Cleaned!$T$2:$T$176,"Overdue")</f>
        <v>0</v>
      </c>
      <c r="J58" s="11" t="n">
        <f aca="false">COUNTIFS(Tracker_Cleaned!$B$2:$B$176,A58,Tracker_Cleaned!$T$2:$T$176,"No deadline")</f>
        <v>3</v>
      </c>
      <c r="K58" s="11" t="s">
        <v>1608</v>
      </c>
    </row>
    <row r="59" customFormat="false" ht="15" hidden="false" customHeight="true" outlineLevel="0" collapsed="false">
      <c r="A59" s="11" t="s">
        <v>1586</v>
      </c>
      <c r="B59" s="11" t="s">
        <v>1587</v>
      </c>
      <c r="C59" s="11" t="s">
        <v>830</v>
      </c>
      <c r="D59" s="11" t="s">
        <v>828</v>
      </c>
      <c r="E59" s="12"/>
      <c r="F59" s="11" t="n">
        <f aca="false">COUNTIF(Tracker_Cleaned!$B$2:$B$176,A59)</f>
        <v>3</v>
      </c>
      <c r="G59" s="11" t="n">
        <f aca="false">COUNTIFS(Tracker_Cleaned!$B$2:$B$176,A59,Tracker_Cleaned!$S$2:$S$176,"Completed")</f>
        <v>3</v>
      </c>
      <c r="H59" s="11" t="n">
        <f aca="false">COUNTIFS(Tracker_Cleaned!$B$2:$B$176,A59,Tracker_Cleaned!$S$2:$S$176,"Blocked")</f>
        <v>0</v>
      </c>
      <c r="I59" s="11" t="n">
        <f aca="false">COUNTIFS(Tracker_Cleaned!$B$2:$B$176,A59,Tracker_Cleaned!$T$2:$T$176,"Late")+COUNTIFS(Tracker_Cleaned!$B$2:$B$176,A59,Tracker_Cleaned!$T$2:$T$176,"Overdue")</f>
        <v>0</v>
      </c>
      <c r="J59" s="11" t="n">
        <f aca="false">COUNTIFS(Tracker_Cleaned!$B$2:$B$176,A59,Tracker_Cleaned!$T$2:$T$176,"No deadline")</f>
        <v>3</v>
      </c>
      <c r="K59" s="11" t="s">
        <v>1608</v>
      </c>
    </row>
    <row r="60" customFormat="false" ht="15" hidden="false" customHeight="true" outlineLevel="0" collapsed="false">
      <c r="A60" s="11" t="s">
        <v>1591</v>
      </c>
      <c r="B60" s="11" t="s">
        <v>1592</v>
      </c>
      <c r="C60" s="11" t="s">
        <v>830</v>
      </c>
      <c r="D60" s="11" t="s">
        <v>828</v>
      </c>
      <c r="E60" s="12"/>
      <c r="F60" s="11" t="n">
        <f aca="false">COUNTIF(Tracker_Cleaned!$B$2:$B$176,A60)</f>
        <v>3</v>
      </c>
      <c r="G60" s="11" t="n">
        <f aca="false">COUNTIFS(Tracker_Cleaned!$B$2:$B$176,A60,Tracker_Cleaned!$S$2:$S$176,"Completed")</f>
        <v>0</v>
      </c>
      <c r="H60" s="11" t="n">
        <f aca="false">COUNTIFS(Tracker_Cleaned!$B$2:$B$176,A60,Tracker_Cleaned!$S$2:$S$176,"Blocked")</f>
        <v>0</v>
      </c>
      <c r="I60" s="11" t="n">
        <f aca="false">COUNTIFS(Tracker_Cleaned!$B$2:$B$176,A60,Tracker_Cleaned!$T$2:$T$176,"Late")+COUNTIFS(Tracker_Cleaned!$B$2:$B$176,A60,Tracker_Cleaned!$T$2:$T$176,"Overdue")</f>
        <v>0</v>
      </c>
      <c r="J60" s="11" t="n">
        <f aca="false">COUNTIFS(Tracker_Cleaned!$B$2:$B$176,A60,Tracker_Cleaned!$T$2:$T$176,"No deadline")</f>
        <v>3</v>
      </c>
      <c r="K60" s="11" t="s">
        <v>1608</v>
      </c>
    </row>
    <row r="61" customFormat="false" ht="15" hidden="false" customHeight="true" outlineLevel="0" collapsed="false">
      <c r="A61" s="11" t="s">
        <v>1598</v>
      </c>
      <c r="B61" s="11" t="s">
        <v>1599</v>
      </c>
      <c r="C61" s="11" t="s">
        <v>830</v>
      </c>
      <c r="D61" s="11" t="s">
        <v>828</v>
      </c>
      <c r="E61" s="12"/>
      <c r="F61" s="11" t="n">
        <f aca="false">COUNTIF(Tracker_Cleaned!$B$2:$B$176,A61)</f>
        <v>6</v>
      </c>
      <c r="G61" s="11" t="n">
        <f aca="false">COUNTIFS(Tracker_Cleaned!$B$2:$B$176,A61,Tracker_Cleaned!$S$2:$S$176,"Completed")</f>
        <v>0</v>
      </c>
      <c r="H61" s="11" t="n">
        <f aca="false">COUNTIFS(Tracker_Cleaned!$B$2:$B$176,A61,Tracker_Cleaned!$S$2:$S$176,"Blocked")</f>
        <v>0</v>
      </c>
      <c r="I61" s="11" t="n">
        <f aca="false">COUNTIFS(Tracker_Cleaned!$B$2:$B$176,A61,Tracker_Cleaned!$T$2:$T$176,"Late")+COUNTIFS(Tracker_Cleaned!$B$2:$B$176,A61,Tracker_Cleaned!$T$2:$T$176,"Overdue")</f>
        <v>0</v>
      </c>
      <c r="J61" s="11" t="n">
        <f aca="false">COUNTIFS(Tracker_Cleaned!$B$2:$B$176,A61,Tracker_Cleaned!$T$2:$T$176,"No deadline")</f>
        <v>6</v>
      </c>
      <c r="K61" s="11" t="s">
        <v>1608</v>
      </c>
    </row>
  </sheetData>
  <dataValidations count="1">
    <dataValidation allowBlank="false" errorStyle="stop" operator="between" showDropDown="false" showErrorMessage="false" showInputMessage="false" sqref="E2:E6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6" min="4" style="1" width="11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70"/>
  </cols>
  <sheetData>
    <row r="1" customFormat="false" ht="34.5" hidden="false" customHeight="true" outlineLevel="0" collapsed="false">
      <c r="A1" s="10" t="s">
        <v>1227</v>
      </c>
      <c r="B1" s="10" t="s">
        <v>1173</v>
      </c>
      <c r="C1" s="10" t="s">
        <v>36</v>
      </c>
      <c r="D1" s="10" t="s">
        <v>1609</v>
      </c>
      <c r="E1" s="10" t="s">
        <v>1610</v>
      </c>
      <c r="F1" s="10" t="s">
        <v>1611</v>
      </c>
      <c r="G1" s="10" t="s">
        <v>1612</v>
      </c>
      <c r="H1" s="10" t="s">
        <v>1613</v>
      </c>
      <c r="I1" s="10" t="s">
        <v>1614</v>
      </c>
      <c r="J1" s="10" t="s">
        <v>1615</v>
      </c>
      <c r="K1" s="10" t="s">
        <v>1616</v>
      </c>
      <c r="L1" s="10" t="s">
        <v>1617</v>
      </c>
    </row>
    <row r="2" customFormat="false" ht="23.25" hidden="false" customHeight="true" outlineLevel="0" collapsed="false">
      <c r="A2" s="11" t="s">
        <v>333</v>
      </c>
      <c r="B2" s="11" t="s">
        <v>334</v>
      </c>
      <c r="C2" s="11" t="str">
        <f aca="false">IFERROR(INDEX(Employee_Master!$F:$F,MATCH(A2,Employee_Master!$A:$A,0)),"")</f>
        <v>Product</v>
      </c>
      <c r="D2" s="11" t="n">
        <f aca="false">COUNTIF(Tracker_Cleaned!$G$2:$G$176,A2)</f>
        <v>9</v>
      </c>
      <c r="E2" s="11" t="n">
        <f aca="false">COUNTIFS(Tracker_Cleaned!$G$2:$G$176,A2,Tracker_Cleaned!$Y$2:$Y$176,"Yes")</f>
        <v>3</v>
      </c>
      <c r="F2" s="11" t="n">
        <f aca="false">COUNTIFS(Tracker_Cleaned!$G$2:$G$176,A2,Tracker_Cleaned!$Y$2:$Y$176,"Yes",Tracker_Cleaned!$T$2:$T$176,"On time")</f>
        <v>3</v>
      </c>
      <c r="G2" s="11" t="n">
        <f aca="false">COUNTIFS(Tracker_Cleaned!$G$2:$G$176,A2,Tracker_Cleaned!$Y$2:$Y$176,"Yes",Tracker_Cleaned!$T$2:$T$176,"Late")</f>
        <v>0</v>
      </c>
      <c r="H2" s="11" t="n">
        <f aca="false">COUNTIFS(Tracker_Cleaned!$G$2:$G$176,A2,Tracker_Cleaned!$Y$2:$Y$176,"Excluded (validated delay)")</f>
        <v>0</v>
      </c>
      <c r="I2" s="21" t="n">
        <f aca="false">IF(E2&lt;3,"Insufficient Data",F2/E2)</f>
        <v>1</v>
      </c>
      <c r="J2" s="22" t="n">
        <f aca="false">IF(ISNUMBER(I2),MAX(0,MIN(100,IF(I2&gt;=0.95,100,60+(I2-0.75)*200))),"Insufficient Data")</f>
        <v>100</v>
      </c>
      <c r="K2" s="21" t="n">
        <v>0.6667</v>
      </c>
      <c r="L2" s="14" t="s">
        <v>1618</v>
      </c>
    </row>
    <row r="3" customFormat="false" ht="15" hidden="false" customHeight="true" outlineLevel="0" collapsed="false">
      <c r="A3" s="11" t="s">
        <v>341</v>
      </c>
      <c r="B3" s="11" t="s">
        <v>342</v>
      </c>
      <c r="C3" s="11" t="str">
        <f aca="false">IFERROR(INDEX(Employee_Master!$F:$F,MATCH(A3,Employee_Master!$A:$A,0)),"")</f>
        <v>Product</v>
      </c>
      <c r="D3" s="11" t="n">
        <f aca="false">COUNTIF(Tracker_Cleaned!$G$2:$G$176,A3)</f>
        <v>5</v>
      </c>
      <c r="E3" s="11" t="n">
        <f aca="false">COUNTIFS(Tracker_Cleaned!$G$2:$G$176,A3,Tracker_Cleaned!$Y$2:$Y$176,"Yes")</f>
        <v>1</v>
      </c>
      <c r="F3" s="11" t="n">
        <f aca="false">COUNTIFS(Tracker_Cleaned!$G$2:$G$176,A3,Tracker_Cleaned!$Y$2:$Y$176,"Yes",Tracker_Cleaned!$T$2:$T$176,"On time")</f>
        <v>1</v>
      </c>
      <c r="G3" s="11" t="n">
        <f aca="false">COUNTIFS(Tracker_Cleaned!$G$2:$G$176,A3,Tracker_Cleaned!$Y$2:$Y$176,"Yes",Tracker_Cleaned!$T$2:$T$176,"Late")</f>
        <v>0</v>
      </c>
      <c r="H3" s="11" t="n">
        <f aca="false">COUNTIFS(Tracker_Cleaned!$G$2:$G$176,A3,Tracker_Cleaned!$Y$2:$Y$176,"Excluded (validated delay)")</f>
        <v>0</v>
      </c>
      <c r="I3" s="21" t="str">
        <f aca="false">IF(E3&lt;3,"Insufficient Data",F3/E3)</f>
        <v>Insufficient Data</v>
      </c>
      <c r="J3" s="22" t="str">
        <f aca="false">IF(ISNUMBER(I3),MAX(0,MIN(100,IF(I3&gt;=0.95,100,60+(I3-0.75)*200))),"Insufficient Data")</f>
        <v>Insufficient Data</v>
      </c>
      <c r="K3" s="21" t="n">
        <v>0.5</v>
      </c>
      <c r="L3" s="14" t="s">
        <v>1619</v>
      </c>
    </row>
    <row r="4" customFormat="false" ht="23.25" hidden="false" customHeight="true" outlineLevel="0" collapsed="false">
      <c r="A4" s="11" t="s">
        <v>337</v>
      </c>
      <c r="B4" s="11" t="s">
        <v>338</v>
      </c>
      <c r="C4" s="11" t="str">
        <f aca="false">IFERROR(INDEX(Employee_Master!$F:$F,MATCH(A4,Employee_Master!$A:$A,0)),"")</f>
        <v>Product</v>
      </c>
      <c r="D4" s="11" t="n">
        <f aca="false">COUNTIF(Tracker_Cleaned!$G$2:$G$176,A4)</f>
        <v>8</v>
      </c>
      <c r="E4" s="11" t="n">
        <f aca="false">COUNTIFS(Tracker_Cleaned!$G$2:$G$176,A4,Tracker_Cleaned!$Y$2:$Y$176,"Yes")</f>
        <v>0</v>
      </c>
      <c r="F4" s="11" t="n">
        <f aca="false">COUNTIFS(Tracker_Cleaned!$G$2:$G$176,A4,Tracker_Cleaned!$Y$2:$Y$176,"Yes",Tracker_Cleaned!$T$2:$T$176,"On time")</f>
        <v>0</v>
      </c>
      <c r="G4" s="11" t="n">
        <f aca="false">COUNTIFS(Tracker_Cleaned!$G$2:$G$176,A4,Tracker_Cleaned!$Y$2:$Y$176,"Yes",Tracker_Cleaned!$T$2:$T$176,"Late")</f>
        <v>0</v>
      </c>
      <c r="H4" s="11" t="n">
        <f aca="false">COUNTIFS(Tracker_Cleaned!$G$2:$G$176,A4,Tracker_Cleaned!$Y$2:$Y$176,"Excluded (validated delay)")</f>
        <v>0</v>
      </c>
      <c r="I4" s="21" t="str">
        <f aca="false">IF(E4&lt;3,"Insufficient Data",F4/E4)</f>
        <v>Insufficient Data</v>
      </c>
      <c r="J4" s="22" t="str">
        <f aca="false">IF(ISNUMBER(I4),MAX(0,MIN(100,IF(I4&gt;=0.95,100,60+(I4-0.75)*200))),"Insufficient Data")</f>
        <v>Insufficient Data</v>
      </c>
      <c r="K4" s="21" t="n">
        <v>1</v>
      </c>
      <c r="L4" s="14" t="s">
        <v>1620</v>
      </c>
    </row>
    <row r="5" customFormat="false" ht="15" hidden="false" customHeight="true" outlineLevel="0" collapsed="false">
      <c r="A5" s="11" t="s">
        <v>667</v>
      </c>
      <c r="B5" s="11" t="s">
        <v>668</v>
      </c>
      <c r="C5" s="11" t="str">
        <f aca="false">IFERROR(INDEX(Employee_Master!$F:$F,MATCH(A5,Employee_Master!$A:$A,0)),"")</f>
        <v>Operations &amp; BO</v>
      </c>
      <c r="D5" s="11" t="n">
        <f aca="false">COUNTIF(Tracker_Cleaned!$G$2:$G$176,A5)</f>
        <v>1</v>
      </c>
      <c r="E5" s="11" t="n">
        <f aca="false">COUNTIFS(Tracker_Cleaned!$G$2:$G$176,A5,Tracker_Cleaned!$Y$2:$Y$176,"Yes")</f>
        <v>0</v>
      </c>
      <c r="F5" s="11" t="n">
        <f aca="false">COUNTIFS(Tracker_Cleaned!$G$2:$G$176,A5,Tracker_Cleaned!$Y$2:$Y$176,"Yes",Tracker_Cleaned!$T$2:$T$176,"On time")</f>
        <v>0</v>
      </c>
      <c r="G5" s="11" t="n">
        <f aca="false">COUNTIFS(Tracker_Cleaned!$G$2:$G$176,A5,Tracker_Cleaned!$Y$2:$Y$176,"Yes",Tracker_Cleaned!$T$2:$T$176,"Late")</f>
        <v>0</v>
      </c>
      <c r="H5" s="11" t="n">
        <f aca="false">COUNTIFS(Tracker_Cleaned!$G$2:$G$176,A5,Tracker_Cleaned!$Y$2:$Y$176,"Excluded (validated delay)")</f>
        <v>0</v>
      </c>
      <c r="I5" s="21" t="str">
        <f aca="false">IF(E5&lt;3,"Insufficient Data",F5/E5)</f>
        <v>Insufficient Data</v>
      </c>
      <c r="J5" s="22" t="str">
        <f aca="false">IF(ISNUMBER(I5),MAX(0,MIN(100,IF(I5&gt;=0.95,100,60+(I5-0.75)*200))),"Insufficient Data")</f>
        <v>Insufficient Data</v>
      </c>
      <c r="K5" s="21"/>
      <c r="L5" s="14"/>
    </row>
    <row r="6" customFormat="false" ht="15" hidden="false" customHeight="true" outlineLevel="0" collapsed="false">
      <c r="A6" s="11" t="s">
        <v>437</v>
      </c>
      <c r="B6" s="11" t="s">
        <v>180</v>
      </c>
      <c r="C6" s="11" t="str">
        <f aca="false">IFERROR(INDEX(Employee_Master!$F:$F,MATCH(A6,Employee_Master!$A:$A,0)),"")</f>
        <v>Demat</v>
      </c>
      <c r="D6" s="11" t="n">
        <f aca="false">COUNTIF(Tracker_Cleaned!$G$2:$G$176,A6)</f>
        <v>2</v>
      </c>
      <c r="E6" s="11" t="n">
        <f aca="false">COUNTIFS(Tracker_Cleaned!$G$2:$G$176,A6,Tracker_Cleaned!$Y$2:$Y$176,"Yes")</f>
        <v>0</v>
      </c>
      <c r="F6" s="11" t="n">
        <f aca="false">COUNTIFS(Tracker_Cleaned!$G$2:$G$176,A6,Tracker_Cleaned!$Y$2:$Y$176,"Yes",Tracker_Cleaned!$T$2:$T$176,"On time")</f>
        <v>0</v>
      </c>
      <c r="G6" s="11" t="n">
        <f aca="false">COUNTIFS(Tracker_Cleaned!$G$2:$G$176,A6,Tracker_Cleaned!$Y$2:$Y$176,"Yes",Tracker_Cleaned!$T$2:$T$176,"Late")</f>
        <v>0</v>
      </c>
      <c r="H6" s="11" t="n">
        <f aca="false">COUNTIFS(Tracker_Cleaned!$G$2:$G$176,A6,Tracker_Cleaned!$Y$2:$Y$176,"Excluded (validated delay)")</f>
        <v>0</v>
      </c>
      <c r="I6" s="21" t="str">
        <f aca="false">IF(E6&lt;3,"Insufficient Data",F6/E6)</f>
        <v>Insufficient Data</v>
      </c>
      <c r="J6" s="22" t="str">
        <f aca="false">IF(ISNUMBER(I6),MAX(0,MIN(100,IF(I6&gt;=0.95,100,60+(I6-0.75)*200))),"Insufficient Data")</f>
        <v>Insufficient Data</v>
      </c>
      <c r="K6" s="21"/>
      <c r="L6" s="14"/>
    </row>
    <row r="7" customFormat="false" ht="15" hidden="false" customHeight="true" outlineLevel="0" collapsed="false">
      <c r="A7" s="11" t="s">
        <v>680</v>
      </c>
      <c r="B7" s="11" t="s">
        <v>681</v>
      </c>
      <c r="C7" s="11" t="str">
        <f aca="false">IFERROR(INDEX(Employee_Master!$F:$F,MATCH(A7,Employee_Master!$A:$A,0)),"")</f>
        <v>Operations &amp; BO</v>
      </c>
      <c r="D7" s="11" t="n">
        <f aca="false">COUNTIF(Tracker_Cleaned!$G$2:$G$176,A7)</f>
        <v>2</v>
      </c>
      <c r="E7" s="11" t="n">
        <f aca="false">COUNTIFS(Tracker_Cleaned!$G$2:$G$176,A7,Tracker_Cleaned!$Y$2:$Y$176,"Yes")</f>
        <v>0</v>
      </c>
      <c r="F7" s="11" t="n">
        <f aca="false">COUNTIFS(Tracker_Cleaned!$G$2:$G$176,A7,Tracker_Cleaned!$Y$2:$Y$176,"Yes",Tracker_Cleaned!$T$2:$T$176,"On time")</f>
        <v>0</v>
      </c>
      <c r="G7" s="11" t="n">
        <f aca="false">COUNTIFS(Tracker_Cleaned!$G$2:$G$176,A7,Tracker_Cleaned!$Y$2:$Y$176,"Yes",Tracker_Cleaned!$T$2:$T$176,"Late")</f>
        <v>0</v>
      </c>
      <c r="H7" s="11" t="n">
        <f aca="false">COUNTIFS(Tracker_Cleaned!$G$2:$G$176,A7,Tracker_Cleaned!$Y$2:$Y$176,"Excluded (validated delay)")</f>
        <v>0</v>
      </c>
      <c r="I7" s="21" t="str">
        <f aca="false">IF(E7&lt;3,"Insufficient Data",F7/E7)</f>
        <v>Insufficient Data</v>
      </c>
      <c r="J7" s="22" t="str">
        <f aca="false">IF(ISNUMBER(I7),MAX(0,MIN(100,IF(I7&gt;=0.95,100,60+(I7-0.75)*200))),"Insufficient Data")</f>
        <v>Insufficient Data</v>
      </c>
      <c r="K7" s="21"/>
      <c r="L7" s="14"/>
    </row>
    <row r="8" customFormat="false" ht="15" hidden="false" customHeight="true" outlineLevel="0" collapsed="false">
      <c r="A8" s="11" t="s">
        <v>703</v>
      </c>
      <c r="B8" s="11" t="s">
        <v>704</v>
      </c>
      <c r="C8" s="11" t="str">
        <f aca="false">IFERROR(INDEX(Employee_Master!$F:$F,MATCH(A8,Employee_Master!$A:$A,0)),"")</f>
        <v>Operations &amp; BO</v>
      </c>
      <c r="D8" s="11" t="n">
        <f aca="false">COUNTIF(Tracker_Cleaned!$G$2:$G$176,A8)</f>
        <v>2</v>
      </c>
      <c r="E8" s="11" t="n">
        <f aca="false">COUNTIFS(Tracker_Cleaned!$G$2:$G$176,A8,Tracker_Cleaned!$Y$2:$Y$176,"Yes")</f>
        <v>0</v>
      </c>
      <c r="F8" s="11" t="n">
        <f aca="false">COUNTIFS(Tracker_Cleaned!$G$2:$G$176,A8,Tracker_Cleaned!$Y$2:$Y$176,"Yes",Tracker_Cleaned!$T$2:$T$176,"On time")</f>
        <v>0</v>
      </c>
      <c r="G8" s="11" t="n">
        <f aca="false">COUNTIFS(Tracker_Cleaned!$G$2:$G$176,A8,Tracker_Cleaned!$Y$2:$Y$176,"Yes",Tracker_Cleaned!$T$2:$T$176,"Late")</f>
        <v>0</v>
      </c>
      <c r="H8" s="11" t="n">
        <f aca="false">COUNTIFS(Tracker_Cleaned!$G$2:$G$176,A8,Tracker_Cleaned!$Y$2:$Y$176,"Excluded (validated delay)")</f>
        <v>0</v>
      </c>
      <c r="I8" s="21" t="str">
        <f aca="false">IF(E8&lt;3,"Insufficient Data",F8/E8)</f>
        <v>Insufficient Data</v>
      </c>
      <c r="J8" s="22" t="str">
        <f aca="false">IF(ISNUMBER(I8),MAX(0,MIN(100,IF(I8&gt;=0.95,100,60+(I8-0.75)*200))),"Insufficient Data")</f>
        <v>Insufficient Data</v>
      </c>
      <c r="K8" s="21"/>
      <c r="L8" s="14"/>
    </row>
    <row r="9" customFormat="false" ht="15" hidden="false" customHeight="true" outlineLevel="0" collapsed="false">
      <c r="A9" s="11" t="s">
        <v>684</v>
      </c>
      <c r="B9" s="11" t="s">
        <v>685</v>
      </c>
      <c r="C9" s="11" t="str">
        <f aca="false">IFERROR(INDEX(Employee_Master!$F:$F,MATCH(A9,Employee_Master!$A:$A,0)),"")</f>
        <v>Operations &amp; BO</v>
      </c>
      <c r="D9" s="11" t="n">
        <f aca="false">COUNTIF(Tracker_Cleaned!$G$2:$G$176,A9)</f>
        <v>1</v>
      </c>
      <c r="E9" s="11" t="n">
        <f aca="false">COUNTIFS(Tracker_Cleaned!$G$2:$G$176,A9,Tracker_Cleaned!$Y$2:$Y$176,"Yes")</f>
        <v>0</v>
      </c>
      <c r="F9" s="11" t="n">
        <f aca="false">COUNTIFS(Tracker_Cleaned!$G$2:$G$176,A9,Tracker_Cleaned!$Y$2:$Y$176,"Yes",Tracker_Cleaned!$T$2:$T$176,"On time")</f>
        <v>0</v>
      </c>
      <c r="G9" s="11" t="n">
        <f aca="false">COUNTIFS(Tracker_Cleaned!$G$2:$G$176,A9,Tracker_Cleaned!$Y$2:$Y$176,"Yes",Tracker_Cleaned!$T$2:$T$176,"Late")</f>
        <v>0</v>
      </c>
      <c r="H9" s="11" t="n">
        <f aca="false">COUNTIFS(Tracker_Cleaned!$G$2:$G$176,A9,Tracker_Cleaned!$Y$2:$Y$176,"Excluded (validated delay)")</f>
        <v>0</v>
      </c>
      <c r="I9" s="21" t="str">
        <f aca="false">IF(E9&lt;3,"Insufficient Data",F9/E9)</f>
        <v>Insufficient Data</v>
      </c>
      <c r="J9" s="22" t="str">
        <f aca="false">IF(ISNUMBER(I9),MAX(0,MIN(100,IF(I9&gt;=0.95,100,60+(I9-0.75)*200))),"Insufficient Data")</f>
        <v>Insufficient Data</v>
      </c>
      <c r="K9" s="21"/>
      <c r="L9" s="14"/>
    </row>
    <row r="10" customFormat="false" ht="15" hidden="false" customHeight="true" outlineLevel="0" collapsed="false">
      <c r="A10" s="11" t="s">
        <v>721</v>
      </c>
      <c r="B10" s="11" t="s">
        <v>722</v>
      </c>
      <c r="C10" s="11" t="str">
        <f aca="false">IFERROR(INDEX(Employee_Master!$F:$F,MATCH(A10,Employee_Master!$A:$A,0)),"")</f>
        <v>Operations &amp; BO</v>
      </c>
      <c r="D10" s="11" t="n">
        <f aca="false">COUNTIF(Tracker_Cleaned!$G$2:$G$176,A10)</f>
        <v>1</v>
      </c>
      <c r="E10" s="11" t="n">
        <f aca="false">COUNTIFS(Tracker_Cleaned!$G$2:$G$176,A10,Tracker_Cleaned!$Y$2:$Y$176,"Yes")</f>
        <v>0</v>
      </c>
      <c r="F10" s="11" t="n">
        <f aca="false">COUNTIFS(Tracker_Cleaned!$G$2:$G$176,A10,Tracker_Cleaned!$Y$2:$Y$176,"Yes",Tracker_Cleaned!$T$2:$T$176,"On time")</f>
        <v>0</v>
      </c>
      <c r="G10" s="11" t="n">
        <f aca="false">COUNTIFS(Tracker_Cleaned!$G$2:$G$176,A10,Tracker_Cleaned!$Y$2:$Y$176,"Yes",Tracker_Cleaned!$T$2:$T$176,"Late")</f>
        <v>0</v>
      </c>
      <c r="H10" s="11" t="n">
        <f aca="false">COUNTIFS(Tracker_Cleaned!$G$2:$G$176,A10,Tracker_Cleaned!$Y$2:$Y$176,"Excluded (validated delay)")</f>
        <v>0</v>
      </c>
      <c r="I10" s="21" t="str">
        <f aca="false">IF(E10&lt;3,"Insufficient Data",F10/E10)</f>
        <v>Insufficient Data</v>
      </c>
      <c r="J10" s="22" t="str">
        <f aca="false">IF(ISNUMBER(I10),MAX(0,MIN(100,IF(I10&gt;=0.95,100,60+(I10-0.75)*200))),"Insufficient Data")</f>
        <v>Insufficient Data</v>
      </c>
      <c r="K10" s="21"/>
      <c r="L10" s="14"/>
    </row>
    <row r="11" customFormat="false" ht="15" hidden="false" customHeight="true" outlineLevel="0" collapsed="false">
      <c r="A11" s="11" t="s">
        <v>442</v>
      </c>
      <c r="B11" s="11" t="s">
        <v>443</v>
      </c>
      <c r="C11" s="11" t="str">
        <f aca="false">IFERROR(INDEX(Employee_Master!$F:$F,MATCH(A11,Employee_Master!$A:$A,0)),"")</f>
        <v>Demat</v>
      </c>
      <c r="D11" s="11" t="n">
        <f aca="false">COUNTIF(Tracker_Cleaned!$G$2:$G$176,A11)</f>
        <v>2</v>
      </c>
      <c r="E11" s="11" t="n">
        <f aca="false">COUNTIFS(Tracker_Cleaned!$G$2:$G$176,A11,Tracker_Cleaned!$Y$2:$Y$176,"Yes")</f>
        <v>0</v>
      </c>
      <c r="F11" s="11" t="n">
        <f aca="false">COUNTIFS(Tracker_Cleaned!$G$2:$G$176,A11,Tracker_Cleaned!$Y$2:$Y$176,"Yes",Tracker_Cleaned!$T$2:$T$176,"On time")</f>
        <v>0</v>
      </c>
      <c r="G11" s="11" t="n">
        <f aca="false">COUNTIFS(Tracker_Cleaned!$G$2:$G$176,A11,Tracker_Cleaned!$Y$2:$Y$176,"Yes",Tracker_Cleaned!$T$2:$T$176,"Late")</f>
        <v>0</v>
      </c>
      <c r="H11" s="11" t="n">
        <f aca="false">COUNTIFS(Tracker_Cleaned!$G$2:$G$176,A11,Tracker_Cleaned!$Y$2:$Y$176,"Excluded (validated delay)")</f>
        <v>0</v>
      </c>
      <c r="I11" s="21" t="str">
        <f aca="false">IF(E11&lt;3,"Insufficient Data",F11/E11)</f>
        <v>Insufficient Data</v>
      </c>
      <c r="J11" s="22" t="str">
        <f aca="false">IF(ISNUMBER(I11),MAX(0,MIN(100,IF(I11&gt;=0.95,100,60+(I11-0.75)*200))),"Insufficient Data")</f>
        <v>Insufficient Data</v>
      </c>
      <c r="K11" s="21"/>
      <c r="L11" s="14"/>
    </row>
    <row r="12" customFormat="false" ht="15" hidden="false" customHeight="true" outlineLevel="0" collapsed="false">
      <c r="A12" s="11" t="s">
        <v>450</v>
      </c>
      <c r="B12" s="11" t="s">
        <v>451</v>
      </c>
      <c r="C12" s="11" t="str">
        <f aca="false">IFERROR(INDEX(Employee_Master!$F:$F,MATCH(A12,Employee_Master!$A:$A,0)),"")</f>
        <v>Demat</v>
      </c>
      <c r="D12" s="11" t="n">
        <f aca="false">COUNTIF(Tracker_Cleaned!$G$2:$G$176,A12)</f>
        <v>2</v>
      </c>
      <c r="E12" s="11" t="n">
        <f aca="false">COUNTIFS(Tracker_Cleaned!$G$2:$G$176,A12,Tracker_Cleaned!$Y$2:$Y$176,"Yes")</f>
        <v>0</v>
      </c>
      <c r="F12" s="11" t="n">
        <f aca="false">COUNTIFS(Tracker_Cleaned!$G$2:$G$176,A12,Tracker_Cleaned!$Y$2:$Y$176,"Yes",Tracker_Cleaned!$T$2:$T$176,"On time")</f>
        <v>0</v>
      </c>
      <c r="G12" s="11" t="n">
        <f aca="false">COUNTIFS(Tracker_Cleaned!$G$2:$G$176,A12,Tracker_Cleaned!$Y$2:$Y$176,"Yes",Tracker_Cleaned!$T$2:$T$176,"Late")</f>
        <v>0</v>
      </c>
      <c r="H12" s="11" t="n">
        <f aca="false">COUNTIFS(Tracker_Cleaned!$G$2:$G$176,A12,Tracker_Cleaned!$Y$2:$Y$176,"Excluded (validated delay)")</f>
        <v>0</v>
      </c>
      <c r="I12" s="21" t="str">
        <f aca="false">IF(E12&lt;3,"Insufficient Data",F12/E12)</f>
        <v>Insufficient Data</v>
      </c>
      <c r="J12" s="22" t="str">
        <f aca="false">IF(ISNUMBER(I12),MAX(0,MIN(100,IF(I12&gt;=0.95,100,60+(I12-0.75)*200))),"Insufficient Data")</f>
        <v>Insufficient Data</v>
      </c>
      <c r="K12" s="21"/>
      <c r="L12" s="14"/>
    </row>
    <row r="13" customFormat="false" ht="15" hidden="false" customHeight="true" outlineLevel="0" collapsed="false">
      <c r="A13" s="11" t="s">
        <v>218</v>
      </c>
      <c r="B13" s="11" t="s">
        <v>219</v>
      </c>
      <c r="C13" s="11" t="str">
        <f aca="false">IFERROR(INDEX(Employee_Master!$F:$F,MATCH(A13,Employee_Master!$A:$A,0)),"")</f>
        <v>Product</v>
      </c>
      <c r="D13" s="11" t="n">
        <f aca="false">COUNTIF(Tracker_Cleaned!$G$2:$G$176,A13)</f>
        <v>1</v>
      </c>
      <c r="E13" s="11" t="n">
        <f aca="false">COUNTIFS(Tracker_Cleaned!$G$2:$G$176,A13,Tracker_Cleaned!$Y$2:$Y$176,"Yes")</f>
        <v>0</v>
      </c>
      <c r="F13" s="11" t="n">
        <f aca="false">COUNTIFS(Tracker_Cleaned!$G$2:$G$176,A13,Tracker_Cleaned!$Y$2:$Y$176,"Yes",Tracker_Cleaned!$T$2:$T$176,"On time")</f>
        <v>0</v>
      </c>
      <c r="G13" s="11" t="n">
        <f aca="false">COUNTIFS(Tracker_Cleaned!$G$2:$G$176,A13,Tracker_Cleaned!$Y$2:$Y$176,"Yes",Tracker_Cleaned!$T$2:$T$176,"Late")</f>
        <v>0</v>
      </c>
      <c r="H13" s="11" t="n">
        <f aca="false">COUNTIFS(Tracker_Cleaned!$G$2:$G$176,A13,Tracker_Cleaned!$Y$2:$Y$176,"Excluded (validated delay)")</f>
        <v>0</v>
      </c>
      <c r="I13" s="21" t="str">
        <f aca="false">IF(E13&lt;3,"Insufficient Data",F13/E13)</f>
        <v>Insufficient Data</v>
      </c>
      <c r="J13" s="22" t="str">
        <f aca="false">IF(ISNUMBER(I13),MAX(0,MIN(100,IF(I13&gt;=0.95,100,60+(I13-0.75)*200))),"Insufficient Data")</f>
        <v>Insufficient Data</v>
      </c>
      <c r="K13" s="21"/>
      <c r="L13" s="14"/>
    </row>
    <row r="14" customFormat="false" ht="15" hidden="false" customHeight="true" outlineLevel="0" collapsed="false">
      <c r="A14" s="11" t="s">
        <v>250</v>
      </c>
      <c r="B14" s="11" t="s">
        <v>251</v>
      </c>
      <c r="C14" s="11" t="str">
        <f aca="false">IFERROR(INDEX(Employee_Master!$F:$F,MATCH(A14,Employee_Master!$A:$A,0)),"")</f>
        <v>Product</v>
      </c>
      <c r="D14" s="11" t="n">
        <f aca="false">COUNTIF(Tracker_Cleaned!$G$2:$G$176,A14)</f>
        <v>1</v>
      </c>
      <c r="E14" s="11" t="n">
        <f aca="false">COUNTIFS(Tracker_Cleaned!$G$2:$G$176,A14,Tracker_Cleaned!$Y$2:$Y$176,"Yes")</f>
        <v>0</v>
      </c>
      <c r="F14" s="11" t="n">
        <f aca="false">COUNTIFS(Tracker_Cleaned!$G$2:$G$176,A14,Tracker_Cleaned!$Y$2:$Y$176,"Yes",Tracker_Cleaned!$T$2:$T$176,"On time")</f>
        <v>0</v>
      </c>
      <c r="G14" s="11" t="n">
        <f aca="false">COUNTIFS(Tracker_Cleaned!$G$2:$G$176,A14,Tracker_Cleaned!$Y$2:$Y$176,"Yes",Tracker_Cleaned!$T$2:$T$176,"Late")</f>
        <v>0</v>
      </c>
      <c r="H14" s="11" t="n">
        <f aca="false">COUNTIFS(Tracker_Cleaned!$G$2:$G$176,A14,Tracker_Cleaned!$Y$2:$Y$176,"Excluded (validated delay)")</f>
        <v>0</v>
      </c>
      <c r="I14" s="21" t="str">
        <f aca="false">IF(E14&lt;3,"Insufficient Data",F14/E14)</f>
        <v>Insufficient Data</v>
      </c>
      <c r="J14" s="22" t="str">
        <f aca="false">IF(ISNUMBER(I14),MAX(0,MIN(100,IF(I14&gt;=0.95,100,60+(I14-0.75)*200))),"Insufficient Data")</f>
        <v>Insufficient Data</v>
      </c>
      <c r="K14" s="21"/>
      <c r="L14" s="14"/>
    </row>
    <row r="15" customFormat="false" ht="15" hidden="false" customHeight="true" outlineLevel="0" collapsed="false">
      <c r="A15" s="11" t="s">
        <v>211</v>
      </c>
      <c r="B15" s="11" t="s">
        <v>212</v>
      </c>
      <c r="C15" s="11" t="str">
        <f aca="false">IFERROR(INDEX(Employee_Master!$F:$F,MATCH(A15,Employee_Master!$A:$A,0)),"")</f>
        <v>Product</v>
      </c>
      <c r="D15" s="11" t="n">
        <f aca="false">COUNTIF(Tracker_Cleaned!$G$2:$G$176,A15)</f>
        <v>2</v>
      </c>
      <c r="E15" s="11" t="n">
        <f aca="false">COUNTIFS(Tracker_Cleaned!$G$2:$G$176,A15,Tracker_Cleaned!$Y$2:$Y$176,"Yes")</f>
        <v>0</v>
      </c>
      <c r="F15" s="11" t="n">
        <f aca="false">COUNTIFS(Tracker_Cleaned!$G$2:$G$176,A15,Tracker_Cleaned!$Y$2:$Y$176,"Yes",Tracker_Cleaned!$T$2:$T$176,"On time")</f>
        <v>0</v>
      </c>
      <c r="G15" s="11" t="n">
        <f aca="false">COUNTIFS(Tracker_Cleaned!$G$2:$G$176,A15,Tracker_Cleaned!$Y$2:$Y$176,"Yes",Tracker_Cleaned!$T$2:$T$176,"Late")</f>
        <v>0</v>
      </c>
      <c r="H15" s="11" t="n">
        <f aca="false">COUNTIFS(Tracker_Cleaned!$G$2:$G$176,A15,Tracker_Cleaned!$Y$2:$Y$176,"Excluded (validated delay)")</f>
        <v>0</v>
      </c>
      <c r="I15" s="21" t="str">
        <f aca="false">IF(E15&lt;3,"Insufficient Data",F15/E15)</f>
        <v>Insufficient Data</v>
      </c>
      <c r="J15" s="22" t="str">
        <f aca="false">IF(ISNUMBER(I15),MAX(0,MIN(100,IF(I15&gt;=0.95,100,60+(I15-0.75)*200))),"Insufficient Data")</f>
        <v>Insufficient Data</v>
      </c>
      <c r="K15" s="21"/>
      <c r="L15" s="14"/>
    </row>
    <row r="16" customFormat="false" ht="15" hidden="false" customHeight="true" outlineLevel="0" collapsed="false">
      <c r="A16" s="11" t="s">
        <v>147</v>
      </c>
      <c r="B16" s="11" t="s">
        <v>148</v>
      </c>
      <c r="C16" s="11" t="str">
        <f aca="false">IFERROR(INDEX(Employee_Master!$F:$F,MATCH(A16,Employee_Master!$A:$A,0)),"")</f>
        <v>Product</v>
      </c>
      <c r="D16" s="11" t="n">
        <f aca="false">COUNTIF(Tracker_Cleaned!$G$2:$G$176,A16)</f>
        <v>2</v>
      </c>
      <c r="E16" s="11" t="n">
        <f aca="false">COUNTIFS(Tracker_Cleaned!$G$2:$G$176,A16,Tracker_Cleaned!$Y$2:$Y$176,"Yes")</f>
        <v>0</v>
      </c>
      <c r="F16" s="11" t="n">
        <f aca="false">COUNTIFS(Tracker_Cleaned!$G$2:$G$176,A16,Tracker_Cleaned!$Y$2:$Y$176,"Yes",Tracker_Cleaned!$T$2:$T$176,"On time")</f>
        <v>0</v>
      </c>
      <c r="G16" s="11" t="n">
        <f aca="false">COUNTIFS(Tracker_Cleaned!$G$2:$G$176,A16,Tracker_Cleaned!$Y$2:$Y$176,"Yes",Tracker_Cleaned!$T$2:$T$176,"Late")</f>
        <v>0</v>
      </c>
      <c r="H16" s="11" t="n">
        <f aca="false">COUNTIFS(Tracker_Cleaned!$G$2:$G$176,A16,Tracker_Cleaned!$Y$2:$Y$176,"Excluded (validated delay)")</f>
        <v>0</v>
      </c>
      <c r="I16" s="21" t="str">
        <f aca="false">IF(E16&lt;3,"Insufficient Data",F16/E16)</f>
        <v>Insufficient Data</v>
      </c>
      <c r="J16" s="22" t="str">
        <f aca="false">IF(ISNUMBER(I16),MAX(0,MIN(100,IF(I16&gt;=0.95,100,60+(I16-0.75)*200))),"Insufficient Data")</f>
        <v>Insufficient Data</v>
      </c>
      <c r="K16" s="21"/>
      <c r="L16" s="14"/>
    </row>
    <row r="17" customFormat="false" ht="15" hidden="false" customHeight="true" outlineLevel="0" collapsed="false">
      <c r="A17" s="11" t="s">
        <v>136</v>
      </c>
      <c r="B17" s="11" t="s">
        <v>137</v>
      </c>
      <c r="C17" s="11" t="str">
        <f aca="false">IFERROR(INDEX(Employee_Master!$F:$F,MATCH(A17,Employee_Master!$A:$A,0)),"")</f>
        <v>Product</v>
      </c>
      <c r="D17" s="11" t="n">
        <f aca="false">COUNTIF(Tracker_Cleaned!$G$2:$G$176,A17)</f>
        <v>2</v>
      </c>
      <c r="E17" s="11" t="n">
        <f aca="false">COUNTIFS(Tracker_Cleaned!$G$2:$G$176,A17,Tracker_Cleaned!$Y$2:$Y$176,"Yes")</f>
        <v>0</v>
      </c>
      <c r="F17" s="11" t="n">
        <f aca="false">COUNTIFS(Tracker_Cleaned!$G$2:$G$176,A17,Tracker_Cleaned!$Y$2:$Y$176,"Yes",Tracker_Cleaned!$T$2:$T$176,"On time")</f>
        <v>0</v>
      </c>
      <c r="G17" s="11" t="n">
        <f aca="false">COUNTIFS(Tracker_Cleaned!$G$2:$G$176,A17,Tracker_Cleaned!$Y$2:$Y$176,"Yes",Tracker_Cleaned!$T$2:$T$176,"Late")</f>
        <v>0</v>
      </c>
      <c r="H17" s="11" t="n">
        <f aca="false">COUNTIFS(Tracker_Cleaned!$G$2:$G$176,A17,Tracker_Cleaned!$Y$2:$Y$176,"Excluded (validated delay)")</f>
        <v>0</v>
      </c>
      <c r="I17" s="21" t="str">
        <f aca="false">IF(E17&lt;3,"Insufficient Data",F17/E17)</f>
        <v>Insufficient Data</v>
      </c>
      <c r="J17" s="22" t="str">
        <f aca="false">IF(ISNUMBER(I17),MAX(0,MIN(100,IF(I17&gt;=0.95,100,60+(I17-0.75)*200))),"Insufficient Data")</f>
        <v>Insufficient Data</v>
      </c>
      <c r="K17" s="21"/>
      <c r="L17" s="14"/>
    </row>
    <row r="18" customFormat="false" ht="15" hidden="false" customHeight="true" outlineLevel="0" collapsed="false">
      <c r="A18" s="11" t="s">
        <v>247</v>
      </c>
      <c r="B18" s="11" t="s">
        <v>248</v>
      </c>
      <c r="C18" s="11" t="str">
        <f aca="false">IFERROR(INDEX(Employee_Master!$F:$F,MATCH(A18,Employee_Master!$A:$A,0)),"")</f>
        <v>Product</v>
      </c>
      <c r="D18" s="11" t="n">
        <f aca="false">COUNTIF(Tracker_Cleaned!$G$2:$G$176,A18)</f>
        <v>3</v>
      </c>
      <c r="E18" s="11" t="n">
        <f aca="false">COUNTIFS(Tracker_Cleaned!$G$2:$G$176,A18,Tracker_Cleaned!$Y$2:$Y$176,"Yes")</f>
        <v>0</v>
      </c>
      <c r="F18" s="11" t="n">
        <f aca="false">COUNTIFS(Tracker_Cleaned!$G$2:$G$176,A18,Tracker_Cleaned!$Y$2:$Y$176,"Yes",Tracker_Cleaned!$T$2:$T$176,"On time")</f>
        <v>0</v>
      </c>
      <c r="G18" s="11" t="n">
        <f aca="false">COUNTIFS(Tracker_Cleaned!$G$2:$G$176,A18,Tracker_Cleaned!$Y$2:$Y$176,"Yes",Tracker_Cleaned!$T$2:$T$176,"Late")</f>
        <v>0</v>
      </c>
      <c r="H18" s="11" t="n">
        <f aca="false">COUNTIFS(Tracker_Cleaned!$G$2:$G$176,A18,Tracker_Cleaned!$Y$2:$Y$176,"Excluded (validated delay)")</f>
        <v>0</v>
      </c>
      <c r="I18" s="21" t="str">
        <f aca="false">IF(E18&lt;3,"Insufficient Data",F18/E18)</f>
        <v>Insufficient Data</v>
      </c>
      <c r="J18" s="22" t="str">
        <f aca="false">IF(ISNUMBER(I18),MAX(0,MIN(100,IF(I18&gt;=0.95,100,60+(I18-0.75)*200))),"Insufficient Data")</f>
        <v>Insufficient Data</v>
      </c>
      <c r="K18" s="21"/>
      <c r="L18" s="14"/>
    </row>
    <row r="19" customFormat="false" ht="15" hidden="false" customHeight="true" outlineLevel="0" collapsed="false">
      <c r="A19" s="11" t="s">
        <v>230</v>
      </c>
      <c r="B19" s="11" t="s">
        <v>231</v>
      </c>
      <c r="C19" s="11" t="str">
        <f aca="false">IFERROR(INDEX(Employee_Master!$F:$F,MATCH(A19,Employee_Master!$A:$A,0)),"")</f>
        <v>Product</v>
      </c>
      <c r="D19" s="11" t="n">
        <f aca="false">COUNTIF(Tracker_Cleaned!$G$2:$G$176,A19)</f>
        <v>2</v>
      </c>
      <c r="E19" s="11" t="n">
        <f aca="false">COUNTIFS(Tracker_Cleaned!$G$2:$G$176,A19,Tracker_Cleaned!$Y$2:$Y$176,"Yes")</f>
        <v>0</v>
      </c>
      <c r="F19" s="11" t="n">
        <f aca="false">COUNTIFS(Tracker_Cleaned!$G$2:$G$176,A19,Tracker_Cleaned!$Y$2:$Y$176,"Yes",Tracker_Cleaned!$T$2:$T$176,"On time")</f>
        <v>0</v>
      </c>
      <c r="G19" s="11" t="n">
        <f aca="false">COUNTIFS(Tracker_Cleaned!$G$2:$G$176,A19,Tracker_Cleaned!$Y$2:$Y$176,"Yes",Tracker_Cleaned!$T$2:$T$176,"Late")</f>
        <v>0</v>
      </c>
      <c r="H19" s="11" t="n">
        <f aca="false">COUNTIFS(Tracker_Cleaned!$G$2:$G$176,A19,Tracker_Cleaned!$Y$2:$Y$176,"Excluded (validated delay)")</f>
        <v>0</v>
      </c>
      <c r="I19" s="21" t="str">
        <f aca="false">IF(E19&lt;3,"Insufficient Data",F19/E19)</f>
        <v>Insufficient Data</v>
      </c>
      <c r="J19" s="22" t="str">
        <f aca="false">IF(ISNUMBER(I19),MAX(0,MIN(100,IF(I19&gt;=0.95,100,60+(I19-0.75)*200))),"Insufficient Data")</f>
        <v>Insufficient Data</v>
      </c>
      <c r="K19" s="21"/>
      <c r="L19" s="14"/>
    </row>
    <row r="20" customFormat="false" ht="15" hidden="false" customHeight="true" outlineLevel="0" collapsed="false">
      <c r="A20" s="11" t="s">
        <v>198</v>
      </c>
      <c r="B20" s="11" t="s">
        <v>199</v>
      </c>
      <c r="C20" s="11" t="str">
        <f aca="false">IFERROR(INDEX(Employee_Master!$F:$F,MATCH(A20,Employee_Master!$A:$A,0)),"")</f>
        <v>Product</v>
      </c>
      <c r="D20" s="11" t="n">
        <f aca="false">COUNTIF(Tracker_Cleaned!$G$2:$G$176,A20)</f>
        <v>1</v>
      </c>
      <c r="E20" s="11" t="n">
        <f aca="false">COUNTIFS(Tracker_Cleaned!$G$2:$G$176,A20,Tracker_Cleaned!$Y$2:$Y$176,"Yes")</f>
        <v>0</v>
      </c>
      <c r="F20" s="11" t="n">
        <f aca="false">COUNTIFS(Tracker_Cleaned!$G$2:$G$176,A20,Tracker_Cleaned!$Y$2:$Y$176,"Yes",Tracker_Cleaned!$T$2:$T$176,"On time")</f>
        <v>0</v>
      </c>
      <c r="G20" s="11" t="n">
        <f aca="false">COUNTIFS(Tracker_Cleaned!$G$2:$G$176,A20,Tracker_Cleaned!$Y$2:$Y$176,"Yes",Tracker_Cleaned!$T$2:$T$176,"Late")</f>
        <v>0</v>
      </c>
      <c r="H20" s="11" t="n">
        <f aca="false">COUNTIFS(Tracker_Cleaned!$G$2:$G$176,A20,Tracker_Cleaned!$Y$2:$Y$176,"Excluded (validated delay)")</f>
        <v>0</v>
      </c>
      <c r="I20" s="21" t="str">
        <f aca="false">IF(E20&lt;3,"Insufficient Data",F20/E20)</f>
        <v>Insufficient Data</v>
      </c>
      <c r="J20" s="22" t="str">
        <f aca="false">IF(ISNUMBER(I20),MAX(0,MIN(100,IF(I20&gt;=0.95,100,60+(I20-0.75)*200))),"Insufficient Data")</f>
        <v>Insufficient Data</v>
      </c>
      <c r="K20" s="21"/>
      <c r="L20" s="14"/>
    </row>
    <row r="21" customFormat="false" ht="15" hidden="false" customHeight="true" outlineLevel="0" collapsed="false">
      <c r="A21" s="11" t="s">
        <v>195</v>
      </c>
      <c r="B21" s="11" t="s">
        <v>196</v>
      </c>
      <c r="C21" s="11" t="str">
        <f aca="false">IFERROR(INDEX(Employee_Master!$F:$F,MATCH(A21,Employee_Master!$A:$A,0)),"")</f>
        <v>Product</v>
      </c>
      <c r="D21" s="11" t="n">
        <f aca="false">COUNTIF(Tracker_Cleaned!$G$2:$G$176,A21)</f>
        <v>1</v>
      </c>
      <c r="E21" s="11" t="n">
        <f aca="false">COUNTIFS(Tracker_Cleaned!$G$2:$G$176,A21,Tracker_Cleaned!$Y$2:$Y$176,"Yes")</f>
        <v>0</v>
      </c>
      <c r="F21" s="11" t="n">
        <f aca="false">COUNTIFS(Tracker_Cleaned!$G$2:$G$176,A21,Tracker_Cleaned!$Y$2:$Y$176,"Yes",Tracker_Cleaned!$T$2:$T$176,"On time")</f>
        <v>0</v>
      </c>
      <c r="G21" s="11" t="n">
        <f aca="false">COUNTIFS(Tracker_Cleaned!$G$2:$G$176,A21,Tracker_Cleaned!$Y$2:$Y$176,"Yes",Tracker_Cleaned!$T$2:$T$176,"Late")</f>
        <v>0</v>
      </c>
      <c r="H21" s="11" t="n">
        <f aca="false">COUNTIFS(Tracker_Cleaned!$G$2:$G$176,A21,Tracker_Cleaned!$Y$2:$Y$176,"Excluded (validated delay)")</f>
        <v>0</v>
      </c>
      <c r="I21" s="21" t="str">
        <f aca="false">IF(E21&lt;3,"Insufficient Data",F21/E21)</f>
        <v>Insufficient Data</v>
      </c>
      <c r="J21" s="22" t="str">
        <f aca="false">IF(ISNUMBER(I21),MAX(0,MIN(100,IF(I21&gt;=0.95,100,60+(I21-0.75)*200))),"Insufficient Data")</f>
        <v>Insufficient Data</v>
      </c>
      <c r="K21" s="21"/>
      <c r="L21" s="14"/>
    </row>
    <row r="22" customFormat="false" ht="15" hidden="false" customHeight="true" outlineLevel="0" collapsed="false">
      <c r="A22" s="11" t="s">
        <v>140</v>
      </c>
      <c r="B22" s="11" t="s">
        <v>141</v>
      </c>
      <c r="C22" s="11" t="str">
        <f aca="false">IFERROR(INDEX(Employee_Master!$F:$F,MATCH(A22,Employee_Master!$A:$A,0)),"")</f>
        <v>Product</v>
      </c>
      <c r="D22" s="11" t="n">
        <f aca="false">COUNTIF(Tracker_Cleaned!$G$2:$G$176,A22)</f>
        <v>1</v>
      </c>
      <c r="E22" s="11" t="n">
        <f aca="false">COUNTIFS(Tracker_Cleaned!$G$2:$G$176,A22,Tracker_Cleaned!$Y$2:$Y$176,"Yes")</f>
        <v>0</v>
      </c>
      <c r="F22" s="11" t="n">
        <f aca="false">COUNTIFS(Tracker_Cleaned!$G$2:$G$176,A22,Tracker_Cleaned!$Y$2:$Y$176,"Yes",Tracker_Cleaned!$T$2:$T$176,"On time")</f>
        <v>0</v>
      </c>
      <c r="G22" s="11" t="n">
        <f aca="false">COUNTIFS(Tracker_Cleaned!$G$2:$G$176,A22,Tracker_Cleaned!$Y$2:$Y$176,"Yes",Tracker_Cleaned!$T$2:$T$176,"Late")</f>
        <v>0</v>
      </c>
      <c r="H22" s="11" t="n">
        <f aca="false">COUNTIFS(Tracker_Cleaned!$G$2:$G$176,A22,Tracker_Cleaned!$Y$2:$Y$176,"Excluded (validated delay)")</f>
        <v>0</v>
      </c>
      <c r="I22" s="21" t="str">
        <f aca="false">IF(E22&lt;3,"Insufficient Data",F22/E22)</f>
        <v>Insufficient Data</v>
      </c>
      <c r="J22" s="22" t="str">
        <f aca="false">IF(ISNUMBER(I22),MAX(0,MIN(100,IF(I22&gt;=0.95,100,60+(I22-0.75)*200))),"Insufficient Data")</f>
        <v>Insufficient Data</v>
      </c>
      <c r="K22" s="21"/>
      <c r="L22" s="14"/>
    </row>
    <row r="23" customFormat="false" ht="15" hidden="false" customHeight="true" outlineLevel="0" collapsed="false">
      <c r="A23" s="11" t="s">
        <v>144</v>
      </c>
      <c r="B23" s="11" t="s">
        <v>145</v>
      </c>
      <c r="C23" s="11" t="str">
        <f aca="false">IFERROR(INDEX(Employee_Master!$F:$F,MATCH(A23,Employee_Master!$A:$A,0)),"")</f>
        <v>Product</v>
      </c>
      <c r="D23" s="11" t="n">
        <f aca="false">COUNTIF(Tracker_Cleaned!$G$2:$G$176,A23)</f>
        <v>1</v>
      </c>
      <c r="E23" s="11" t="n">
        <f aca="false">COUNTIFS(Tracker_Cleaned!$G$2:$G$176,A23,Tracker_Cleaned!$Y$2:$Y$176,"Yes")</f>
        <v>0</v>
      </c>
      <c r="F23" s="11" t="n">
        <f aca="false">COUNTIFS(Tracker_Cleaned!$G$2:$G$176,A23,Tracker_Cleaned!$Y$2:$Y$176,"Yes",Tracker_Cleaned!$T$2:$T$176,"On time")</f>
        <v>0</v>
      </c>
      <c r="G23" s="11" t="n">
        <f aca="false">COUNTIFS(Tracker_Cleaned!$G$2:$G$176,A23,Tracker_Cleaned!$Y$2:$Y$176,"Yes",Tracker_Cleaned!$T$2:$T$176,"Late")</f>
        <v>0</v>
      </c>
      <c r="H23" s="11" t="n">
        <f aca="false">COUNTIFS(Tracker_Cleaned!$G$2:$G$176,A23,Tracker_Cleaned!$Y$2:$Y$176,"Excluded (validated delay)")</f>
        <v>0</v>
      </c>
      <c r="I23" s="21" t="str">
        <f aca="false">IF(E23&lt;3,"Insufficient Data",F23/E23)</f>
        <v>Insufficient Data</v>
      </c>
      <c r="J23" s="22" t="str">
        <f aca="false">IF(ISNUMBER(I23),MAX(0,MIN(100,IF(I23&gt;=0.95,100,60+(I23-0.75)*200))),"Insufficient Data")</f>
        <v>Insufficient Data</v>
      </c>
      <c r="K23" s="21"/>
      <c r="L23" s="14"/>
    </row>
    <row r="24" customFormat="false" ht="15" hidden="false" customHeight="true" outlineLevel="0" collapsed="false">
      <c r="A24" s="11" t="s">
        <v>832</v>
      </c>
      <c r="B24" s="11" t="s">
        <v>833</v>
      </c>
      <c r="C24" s="11" t="str">
        <f aca="false">IFERROR(INDEX(Employee_Master!$F:$F,MATCH(A24,Employee_Master!$A:$A,0)),"")</f>
        <v>Client Support</v>
      </c>
      <c r="D24" s="11" t="n">
        <f aca="false">COUNTIF(Tracker_Cleaned!$G$2:$G$176,A24)</f>
        <v>23</v>
      </c>
      <c r="E24" s="11" t="n">
        <f aca="false">COUNTIFS(Tracker_Cleaned!$G$2:$G$176,A24,Tracker_Cleaned!$Y$2:$Y$176,"Yes")</f>
        <v>0</v>
      </c>
      <c r="F24" s="11" t="n">
        <f aca="false">COUNTIFS(Tracker_Cleaned!$G$2:$G$176,A24,Tracker_Cleaned!$Y$2:$Y$176,"Yes",Tracker_Cleaned!$T$2:$T$176,"On time")</f>
        <v>0</v>
      </c>
      <c r="G24" s="11" t="n">
        <f aca="false">COUNTIFS(Tracker_Cleaned!$G$2:$G$176,A24,Tracker_Cleaned!$Y$2:$Y$176,"Yes",Tracker_Cleaned!$T$2:$T$176,"Late")</f>
        <v>0</v>
      </c>
      <c r="H24" s="11" t="n">
        <f aca="false">COUNTIFS(Tracker_Cleaned!$G$2:$G$176,A24,Tracker_Cleaned!$Y$2:$Y$176,"Excluded (validated delay)")</f>
        <v>0</v>
      </c>
      <c r="I24" s="21" t="str">
        <f aca="false">IF(E24&lt;3,"Insufficient Data",F24/E24)</f>
        <v>Insufficient Data</v>
      </c>
      <c r="J24" s="22" t="str">
        <f aca="false">IF(ISNUMBER(I24),MAX(0,MIN(100,IF(I24&gt;=0.95,100,60+(I24-0.75)*200))),"Insufficient Data")</f>
        <v>Insufficient Data</v>
      </c>
      <c r="K24" s="21"/>
      <c r="L24" s="14"/>
    </row>
    <row r="25" customFormat="false" ht="15" hidden="false" customHeight="true" outlineLevel="0" collapsed="false">
      <c r="A25" s="11" t="s">
        <v>835</v>
      </c>
      <c r="B25" s="11" t="s">
        <v>836</v>
      </c>
      <c r="C25" s="11" t="str">
        <f aca="false">IFERROR(INDEX(Employee_Master!$F:$F,MATCH(A25,Employee_Master!$A:$A,0)),"")</f>
        <v>Client Support</v>
      </c>
      <c r="D25" s="11" t="n">
        <f aca="false">COUNTIF(Tracker_Cleaned!$G$2:$G$176,A25)</f>
        <v>62</v>
      </c>
      <c r="E25" s="11" t="n">
        <f aca="false">COUNTIFS(Tracker_Cleaned!$G$2:$G$176,A25,Tracker_Cleaned!$Y$2:$Y$176,"Yes")</f>
        <v>0</v>
      </c>
      <c r="F25" s="11" t="n">
        <f aca="false">COUNTIFS(Tracker_Cleaned!$G$2:$G$176,A25,Tracker_Cleaned!$Y$2:$Y$176,"Yes",Tracker_Cleaned!$T$2:$T$176,"On time")</f>
        <v>0</v>
      </c>
      <c r="G25" s="11" t="n">
        <f aca="false">COUNTIFS(Tracker_Cleaned!$G$2:$G$176,A25,Tracker_Cleaned!$Y$2:$Y$176,"Yes",Tracker_Cleaned!$T$2:$T$176,"Late")</f>
        <v>0</v>
      </c>
      <c r="H25" s="11" t="n">
        <f aca="false">COUNTIFS(Tracker_Cleaned!$G$2:$G$176,A25,Tracker_Cleaned!$Y$2:$Y$176,"Excluded (validated delay)")</f>
        <v>0</v>
      </c>
      <c r="I25" s="21" t="str">
        <f aca="false">IF(E25&lt;3,"Insufficient Data",F25/E25)</f>
        <v>Insufficient Data</v>
      </c>
      <c r="J25" s="22" t="str">
        <f aca="false">IF(ISNUMBER(I25),MAX(0,MIN(100,IF(I25&gt;=0.95,100,60+(I25-0.75)*200))),"Insufficient Data")</f>
        <v>Insufficient Data</v>
      </c>
      <c r="K25" s="21"/>
      <c r="L25" s="14"/>
    </row>
    <row r="26" customFormat="false" ht="15" hidden="false" customHeight="true" outlineLevel="0" collapsed="false">
      <c r="A26" s="11" t="s">
        <v>886</v>
      </c>
      <c r="B26" s="11" t="s">
        <v>887</v>
      </c>
      <c r="C26" s="11" t="str">
        <f aca="false">IFERROR(INDEX(Employee_Master!$F:$F,MATCH(A26,Employee_Master!$A:$A,0)),"")</f>
        <v>Client Support</v>
      </c>
      <c r="D26" s="11" t="n">
        <f aca="false">COUNTIF(Tracker_Cleaned!$G$2:$G$176,A26)</f>
        <v>23</v>
      </c>
      <c r="E26" s="11" t="n">
        <f aca="false">COUNTIFS(Tracker_Cleaned!$G$2:$G$176,A26,Tracker_Cleaned!$Y$2:$Y$176,"Yes")</f>
        <v>0</v>
      </c>
      <c r="F26" s="11" t="n">
        <f aca="false">COUNTIFS(Tracker_Cleaned!$G$2:$G$176,A26,Tracker_Cleaned!$Y$2:$Y$176,"Yes",Tracker_Cleaned!$T$2:$T$176,"On time")</f>
        <v>0</v>
      </c>
      <c r="G26" s="11" t="n">
        <f aca="false">COUNTIFS(Tracker_Cleaned!$G$2:$G$176,A26,Tracker_Cleaned!$Y$2:$Y$176,"Yes",Tracker_Cleaned!$T$2:$T$176,"Late")</f>
        <v>0</v>
      </c>
      <c r="H26" s="11" t="n">
        <f aca="false">COUNTIFS(Tracker_Cleaned!$G$2:$G$176,A26,Tracker_Cleaned!$Y$2:$Y$176,"Excluded (validated delay)")</f>
        <v>0</v>
      </c>
      <c r="I26" s="21" t="str">
        <f aca="false">IF(E26&lt;3,"Insufficient Data",F26/E26)</f>
        <v>Insufficient Data</v>
      </c>
      <c r="J26" s="22" t="str">
        <f aca="false">IF(ISNUMBER(I26),MAX(0,MIN(100,IF(I26&gt;=0.95,100,60+(I26-0.75)*200))),"Insufficient Data")</f>
        <v>Insufficient Data</v>
      </c>
      <c r="K26" s="21"/>
      <c r="L26" s="14"/>
    </row>
    <row r="27" customFormat="false" ht="15" hidden="false" customHeight="true" outlineLevel="0" collapsed="false">
      <c r="A27" s="11" t="s">
        <v>893</v>
      </c>
      <c r="B27" s="11" t="s">
        <v>894</v>
      </c>
      <c r="C27" s="11" t="str">
        <f aca="false">IFERROR(INDEX(Employee_Master!$F:$F,MATCH(A27,Employee_Master!$A:$A,0)),"")</f>
        <v>Client Support</v>
      </c>
      <c r="D27" s="11" t="n">
        <f aca="false">COUNTIF(Tracker_Cleaned!$G$2:$G$176,A27)</f>
        <v>6</v>
      </c>
      <c r="E27" s="11" t="n">
        <f aca="false">COUNTIFS(Tracker_Cleaned!$G$2:$G$176,A27,Tracker_Cleaned!$Y$2:$Y$176,"Yes")</f>
        <v>0</v>
      </c>
      <c r="F27" s="11" t="n">
        <f aca="false">COUNTIFS(Tracker_Cleaned!$G$2:$G$176,A27,Tracker_Cleaned!$Y$2:$Y$176,"Yes",Tracker_Cleaned!$T$2:$T$176,"On time")</f>
        <v>0</v>
      </c>
      <c r="G27" s="11" t="n">
        <f aca="false">COUNTIFS(Tracker_Cleaned!$G$2:$G$176,A27,Tracker_Cleaned!$Y$2:$Y$176,"Yes",Tracker_Cleaned!$T$2:$T$176,"Late")</f>
        <v>0</v>
      </c>
      <c r="H27" s="11" t="n">
        <f aca="false">COUNTIFS(Tracker_Cleaned!$G$2:$G$176,A27,Tracker_Cleaned!$Y$2:$Y$176,"Excluded (validated delay)")</f>
        <v>0</v>
      </c>
      <c r="I27" s="21" t="str">
        <f aca="false">IF(E27&lt;3,"Insufficient Data",F27/E27)</f>
        <v>Insufficient Data</v>
      </c>
      <c r="J27" s="22" t="str">
        <f aca="false">IF(ISNUMBER(I27),MAX(0,MIN(100,IF(I27&gt;=0.95,100,60+(I27-0.75)*200))),"Insufficient Data")</f>
        <v>Insufficient Data</v>
      </c>
      <c r="K27" s="21"/>
      <c r="L27" s="14"/>
    </row>
    <row r="28" customFormat="false" ht="15" hidden="false" customHeight="true" outlineLevel="0" collapsed="false">
      <c r="A28" s="11" t="s">
        <v>847</v>
      </c>
      <c r="B28" s="11" t="s">
        <v>848</v>
      </c>
      <c r="C28" s="11" t="str">
        <f aca="false">IFERROR(INDEX(Employee_Master!$F:$F,MATCH(A28,Employee_Master!$A:$A,0)),"")</f>
        <v>Client Support</v>
      </c>
      <c r="D28" s="11" t="n">
        <f aca="false">COUNTIF(Tracker_Cleaned!$G$2:$G$176,A28)</f>
        <v>3</v>
      </c>
      <c r="E28" s="11" t="n">
        <f aca="false">COUNTIFS(Tracker_Cleaned!$G$2:$G$176,A28,Tracker_Cleaned!$Y$2:$Y$176,"Yes")</f>
        <v>0</v>
      </c>
      <c r="F28" s="11" t="n">
        <f aca="false">COUNTIFS(Tracker_Cleaned!$G$2:$G$176,A28,Tracker_Cleaned!$Y$2:$Y$176,"Yes",Tracker_Cleaned!$T$2:$T$176,"On time")</f>
        <v>0</v>
      </c>
      <c r="G28" s="11" t="n">
        <f aca="false">COUNTIFS(Tracker_Cleaned!$G$2:$G$176,A28,Tracker_Cleaned!$Y$2:$Y$176,"Yes",Tracker_Cleaned!$T$2:$T$176,"Late")</f>
        <v>0</v>
      </c>
      <c r="H28" s="11" t="n">
        <f aca="false">COUNTIFS(Tracker_Cleaned!$G$2:$G$176,A28,Tracker_Cleaned!$Y$2:$Y$176,"Excluded (validated delay)")</f>
        <v>0</v>
      </c>
      <c r="I28" s="21" t="str">
        <f aca="false">IF(E28&lt;3,"Insufficient Data",F28/E28)</f>
        <v>Insufficient Data</v>
      </c>
      <c r="J28" s="22" t="str">
        <f aca="false">IF(ISNUMBER(I28),MAX(0,MIN(100,IF(I28&gt;=0.95,100,60+(I28-0.75)*200))),"Insufficient Data")</f>
        <v>Insufficient Data</v>
      </c>
      <c r="K28" s="21"/>
      <c r="L28" s="14"/>
    </row>
    <row r="29" customFormat="false" ht="15" hidden="false" customHeight="true" outlineLevel="0" collapsed="false">
      <c r="A29" s="11" t="s">
        <v>865</v>
      </c>
      <c r="B29" s="11" t="s">
        <v>866</v>
      </c>
      <c r="C29" s="11" t="str">
        <f aca="false">IFERROR(INDEX(Employee_Master!$F:$F,MATCH(A29,Employee_Master!$A:$A,0)),"")</f>
        <v>Client Support</v>
      </c>
      <c r="D29" s="11" t="n">
        <f aca="false">COUNTIF(Tracker_Cleaned!$G$2:$G$176,A29)</f>
        <v>3</v>
      </c>
      <c r="E29" s="11" t="n">
        <f aca="false">COUNTIFS(Tracker_Cleaned!$G$2:$G$176,A29,Tracker_Cleaned!$Y$2:$Y$176,"Yes")</f>
        <v>0</v>
      </c>
      <c r="F29" s="11" t="n">
        <f aca="false">COUNTIFS(Tracker_Cleaned!$G$2:$G$176,A29,Tracker_Cleaned!$Y$2:$Y$176,"Yes",Tracker_Cleaned!$T$2:$T$176,"On time")</f>
        <v>0</v>
      </c>
      <c r="G29" s="11" t="n">
        <f aca="false">COUNTIFS(Tracker_Cleaned!$G$2:$G$176,A29,Tracker_Cleaned!$Y$2:$Y$176,"Yes",Tracker_Cleaned!$T$2:$T$176,"Late")</f>
        <v>0</v>
      </c>
      <c r="H29" s="11" t="n">
        <f aca="false">COUNTIFS(Tracker_Cleaned!$G$2:$G$176,A29,Tracker_Cleaned!$Y$2:$Y$176,"Excluded (validated delay)")</f>
        <v>0</v>
      </c>
      <c r="I29" s="21" t="str">
        <f aca="false">IF(E29&lt;3,"Insufficient Data",F29/E29)</f>
        <v>Insufficient Data</v>
      </c>
      <c r="J29" s="22" t="str">
        <f aca="false">IF(ISNUMBER(I29),MAX(0,MIN(100,IF(I29&gt;=0.95,100,60+(I29-0.75)*200))),"Insufficient Data")</f>
        <v>Insufficient Data</v>
      </c>
      <c r="K29" s="21"/>
      <c r="L29" s="14"/>
    </row>
    <row r="31" customFormat="false" ht="42" hidden="false" customHeight="true" outlineLevel="0" collapsed="false">
      <c r="A31" s="23" t="s">
        <v>1621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</sheetData>
  <mergeCells count="1">
    <mergeCell ref="A31:L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26"/>
    <col collapsed="false" customWidth="true" hidden="false" outlineLevel="0" max="9" min="9" style="0" width="11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40"/>
    <col collapsed="false" customWidth="true" hidden="false" outlineLevel="0" max="14" min="13" style="0" width="34"/>
    <col collapsed="false" customWidth="true" hidden="false" outlineLevel="0" max="15" min="15" style="0" width="28"/>
    <col collapsed="false" customWidth="true" hidden="false" outlineLevel="0" max="16" min="16" style="0" width="18"/>
    <col collapsed="false" customWidth="true" hidden="false" outlineLevel="0" max="18" min="17" style="0" width="10"/>
    <col collapsed="false" customWidth="true" hidden="false" outlineLevel="0" max="20" min="19" style="0" width="9"/>
    <col collapsed="false" customWidth="true" hidden="false" outlineLevel="0" max="21" min="21" style="0" width="34"/>
    <col collapsed="false" customWidth="true" hidden="false" outlineLevel="0" max="22" min="22" style="0" width="50"/>
  </cols>
  <sheetData>
    <row r="1" customFormat="false" ht="35.05" hidden="false" customHeight="false" outlineLevel="0" collapsed="false">
      <c r="A1" s="10" t="s">
        <v>1622</v>
      </c>
      <c r="B1" s="10" t="s">
        <v>1623</v>
      </c>
      <c r="C1" s="10" t="s">
        <v>1624</v>
      </c>
      <c r="D1" s="10" t="s">
        <v>1625</v>
      </c>
      <c r="E1" s="10" t="s">
        <v>1626</v>
      </c>
      <c r="F1" s="10" t="s">
        <v>1627</v>
      </c>
      <c r="G1" s="10" t="s">
        <v>1628</v>
      </c>
      <c r="H1" s="10" t="s">
        <v>1629</v>
      </c>
      <c r="I1" s="10" t="s">
        <v>1630</v>
      </c>
      <c r="J1" s="10" t="s">
        <v>1631</v>
      </c>
      <c r="K1" s="10" t="s">
        <v>1632</v>
      </c>
      <c r="L1" s="10" t="s">
        <v>1633</v>
      </c>
      <c r="M1" s="10" t="s">
        <v>1634</v>
      </c>
      <c r="N1" s="10" t="s">
        <v>1635</v>
      </c>
      <c r="O1" s="10" t="s">
        <v>1636</v>
      </c>
      <c r="P1" s="10" t="s">
        <v>1637</v>
      </c>
      <c r="Q1" s="10" t="s">
        <v>1638</v>
      </c>
      <c r="R1" s="10" t="s">
        <v>1639</v>
      </c>
      <c r="S1" s="10" t="s">
        <v>1640</v>
      </c>
      <c r="T1" s="10" t="s">
        <v>1641</v>
      </c>
      <c r="U1" s="10" t="s">
        <v>1642</v>
      </c>
      <c r="V1" s="10" t="s">
        <v>1643</v>
      </c>
    </row>
    <row r="2" customFormat="false" ht="68.65" hidden="false" customHeight="false" outlineLevel="0" collapsed="false">
      <c r="A2" s="24" t="s">
        <v>1644</v>
      </c>
      <c r="B2" s="24" t="n">
        <v>1</v>
      </c>
      <c r="C2" s="24" t="s">
        <v>1645</v>
      </c>
      <c r="D2" s="24" t="s">
        <v>1646</v>
      </c>
      <c r="E2" s="24" t="s">
        <v>1647</v>
      </c>
      <c r="F2" s="24" t="s">
        <v>1648</v>
      </c>
      <c r="G2" s="24" t="s">
        <v>1649</v>
      </c>
      <c r="H2" s="24" t="s">
        <v>1650</v>
      </c>
      <c r="I2" s="25"/>
      <c r="J2" s="24" t="s">
        <v>1646</v>
      </c>
      <c r="K2" s="24" t="s">
        <v>1651</v>
      </c>
      <c r="L2" s="24" t="s">
        <v>1652</v>
      </c>
      <c r="M2" s="24" t="s">
        <v>1653</v>
      </c>
      <c r="N2" s="24" t="s">
        <v>1654</v>
      </c>
      <c r="O2" s="24" t="s">
        <v>1655</v>
      </c>
      <c r="P2" s="24" t="s">
        <v>1656</v>
      </c>
      <c r="Q2" s="26" t="n">
        <v>2</v>
      </c>
      <c r="R2" s="26" t="n">
        <v>3</v>
      </c>
      <c r="S2" s="26" t="n">
        <v>2</v>
      </c>
      <c r="T2" s="26" t="n">
        <v>3</v>
      </c>
      <c r="U2" s="24" t="s">
        <v>1657</v>
      </c>
      <c r="V2" s="27" t="s">
        <v>1658</v>
      </c>
    </row>
    <row r="3" customFormat="false" ht="23.85" hidden="false" customHeight="false" outlineLevel="0" collapsed="false">
      <c r="A3" s="24" t="s">
        <v>1644</v>
      </c>
      <c r="B3" s="24" t="n">
        <v>2</v>
      </c>
      <c r="C3" s="24" t="s">
        <v>1659</v>
      </c>
      <c r="D3" s="24" t="n">
        <v>1</v>
      </c>
      <c r="E3" s="24" t="s">
        <v>1660</v>
      </c>
      <c r="F3" s="24" t="s">
        <v>601</v>
      </c>
      <c r="G3" s="24" t="s">
        <v>600</v>
      </c>
      <c r="H3" s="24" t="s">
        <v>1650</v>
      </c>
      <c r="I3" s="25"/>
      <c r="J3" s="24" t="s">
        <v>1661</v>
      </c>
      <c r="K3" s="24" t="s">
        <v>1651</v>
      </c>
      <c r="L3" s="24" t="s">
        <v>1662</v>
      </c>
      <c r="M3" s="24" t="s">
        <v>1663</v>
      </c>
      <c r="N3" s="24" t="s">
        <v>1664</v>
      </c>
      <c r="O3" s="24" t="s">
        <v>1665</v>
      </c>
      <c r="P3" s="24" t="s">
        <v>1656</v>
      </c>
      <c r="Q3" s="26" t="n">
        <v>2</v>
      </c>
      <c r="R3" s="26" t="n">
        <v>3</v>
      </c>
      <c r="S3" s="26" t="n">
        <v>4</v>
      </c>
      <c r="T3" s="26" t="n">
        <v>8</v>
      </c>
      <c r="U3" s="24" t="s">
        <v>1666</v>
      </c>
      <c r="V3" s="27" t="s">
        <v>1667</v>
      </c>
    </row>
    <row r="4" customFormat="false" ht="46.25" hidden="false" customHeight="false" outlineLevel="0" collapsed="false">
      <c r="A4" s="24" t="s">
        <v>1644</v>
      </c>
      <c r="B4" s="24" t="n">
        <v>3</v>
      </c>
      <c r="C4" s="24" t="s">
        <v>1668</v>
      </c>
      <c r="D4" s="24" t="n">
        <v>2</v>
      </c>
      <c r="E4" s="24" t="s">
        <v>1669</v>
      </c>
      <c r="F4" s="24" t="s">
        <v>601</v>
      </c>
      <c r="G4" s="24" t="s">
        <v>600</v>
      </c>
      <c r="H4" s="24" t="s">
        <v>1670</v>
      </c>
      <c r="I4" s="24" t="s">
        <v>1649</v>
      </c>
      <c r="J4" s="24" t="s">
        <v>1671</v>
      </c>
      <c r="K4" s="24" t="s">
        <v>1650</v>
      </c>
      <c r="L4" s="24" t="s">
        <v>1672</v>
      </c>
      <c r="M4" s="24" t="s">
        <v>1673</v>
      </c>
      <c r="N4" s="24" t="s">
        <v>1674</v>
      </c>
      <c r="O4" s="24" t="s">
        <v>1675</v>
      </c>
      <c r="P4" s="24" t="s">
        <v>1676</v>
      </c>
      <c r="Q4" s="26" t="n">
        <v>1</v>
      </c>
      <c r="R4" s="26" t="n">
        <v>2</v>
      </c>
      <c r="S4" s="26" t="n">
        <v>2</v>
      </c>
      <c r="T4" s="26" t="n">
        <v>3</v>
      </c>
      <c r="U4" s="24" t="s">
        <v>1677</v>
      </c>
      <c r="V4" s="27" t="s">
        <v>1678</v>
      </c>
    </row>
    <row r="5" customFormat="false" ht="46.25" hidden="false" customHeight="false" outlineLevel="0" collapsed="false">
      <c r="A5" s="24" t="s">
        <v>1644</v>
      </c>
      <c r="B5" s="24" t="n">
        <v>4</v>
      </c>
      <c r="C5" s="24" t="s">
        <v>1679</v>
      </c>
      <c r="D5" s="24" t="n">
        <v>3</v>
      </c>
      <c r="E5" s="24" t="s">
        <v>1680</v>
      </c>
      <c r="F5" s="24" t="s">
        <v>474</v>
      </c>
      <c r="G5" s="24" t="s">
        <v>473</v>
      </c>
      <c r="H5" s="24" t="s">
        <v>1681</v>
      </c>
      <c r="I5" s="25"/>
      <c r="J5" s="24" t="s">
        <v>1682</v>
      </c>
      <c r="K5" s="24" t="s">
        <v>1683</v>
      </c>
      <c r="L5" s="24" t="s">
        <v>1684</v>
      </c>
      <c r="M5" s="24" t="s">
        <v>1685</v>
      </c>
      <c r="N5" s="24" t="s">
        <v>1686</v>
      </c>
      <c r="O5" s="24" t="s">
        <v>1687</v>
      </c>
      <c r="P5" s="24" t="s">
        <v>1676</v>
      </c>
      <c r="Q5" s="26" t="n">
        <v>1</v>
      </c>
      <c r="R5" s="26" t="n">
        <v>2</v>
      </c>
      <c r="S5" s="26" t="n">
        <v>4</v>
      </c>
      <c r="T5" s="26" t="n">
        <v>6</v>
      </c>
      <c r="U5" s="24" t="s">
        <v>1688</v>
      </c>
      <c r="V5" s="27" t="s">
        <v>1689</v>
      </c>
    </row>
    <row r="6" customFormat="false" ht="35.05" hidden="false" customHeight="false" outlineLevel="0" collapsed="false">
      <c r="A6" s="24" t="s">
        <v>1644</v>
      </c>
      <c r="B6" s="24" t="n">
        <v>5</v>
      </c>
      <c r="C6" s="24" t="s">
        <v>1690</v>
      </c>
      <c r="D6" s="24" t="n">
        <v>4</v>
      </c>
      <c r="E6" s="24" t="s">
        <v>1682</v>
      </c>
      <c r="F6" s="24" t="s">
        <v>474</v>
      </c>
      <c r="G6" s="24" t="s">
        <v>473</v>
      </c>
      <c r="H6" s="24" t="s">
        <v>1681</v>
      </c>
      <c r="I6" s="25"/>
      <c r="J6" s="24" t="s">
        <v>1680</v>
      </c>
      <c r="K6" s="24" t="s">
        <v>1691</v>
      </c>
      <c r="L6" s="24" t="s">
        <v>1692</v>
      </c>
      <c r="M6" s="24" t="s">
        <v>1693</v>
      </c>
      <c r="N6" s="24" t="s">
        <v>1694</v>
      </c>
      <c r="O6" s="24" t="s">
        <v>1695</v>
      </c>
      <c r="P6" s="24" t="s">
        <v>1676</v>
      </c>
      <c r="Q6" s="26" t="n">
        <v>1</v>
      </c>
      <c r="R6" s="26" t="n">
        <v>2</v>
      </c>
      <c r="S6" s="26" t="n">
        <v>3</v>
      </c>
      <c r="T6" s="26" t="n">
        <v>4</v>
      </c>
      <c r="U6" s="24" t="s">
        <v>1696</v>
      </c>
      <c r="V6" s="27" t="s">
        <v>1697</v>
      </c>
    </row>
    <row r="7" customFormat="false" ht="35.05" hidden="false" customHeight="false" outlineLevel="0" collapsed="false">
      <c r="A7" s="24" t="s">
        <v>1644</v>
      </c>
      <c r="B7" s="24" t="n">
        <v>6</v>
      </c>
      <c r="C7" s="24" t="s">
        <v>1698</v>
      </c>
      <c r="D7" s="24" t="n">
        <v>5</v>
      </c>
      <c r="E7" s="24" t="s">
        <v>1682</v>
      </c>
      <c r="F7" s="24" t="s">
        <v>474</v>
      </c>
      <c r="G7" s="24" t="s">
        <v>473</v>
      </c>
      <c r="H7" s="24" t="s">
        <v>1681</v>
      </c>
      <c r="I7" s="25"/>
      <c r="J7" s="24" t="s">
        <v>1699</v>
      </c>
      <c r="K7" s="24" t="s">
        <v>1700</v>
      </c>
      <c r="L7" s="24" t="s">
        <v>1701</v>
      </c>
      <c r="M7" s="24" t="s">
        <v>1702</v>
      </c>
      <c r="N7" s="24" t="s">
        <v>1703</v>
      </c>
      <c r="O7" s="24" t="s">
        <v>1704</v>
      </c>
      <c r="P7" s="24" t="s">
        <v>1705</v>
      </c>
      <c r="Q7" s="26" t="n">
        <v>2</v>
      </c>
      <c r="R7" s="26" t="n">
        <v>2</v>
      </c>
      <c r="S7" s="26" t="n">
        <v>0.5</v>
      </c>
      <c r="T7" s="26" t="n">
        <v>1</v>
      </c>
      <c r="U7" s="24" t="s">
        <v>1706</v>
      </c>
      <c r="V7" s="27" t="s">
        <v>1707</v>
      </c>
    </row>
    <row r="8" customFormat="false" ht="23.85" hidden="false" customHeight="false" outlineLevel="0" collapsed="false">
      <c r="A8" s="28"/>
      <c r="B8" s="28"/>
      <c r="C8" s="28" t="s">
        <v>1708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 t="n">
        <f aca="false">SUM(Q2:Q7)</f>
        <v>9</v>
      </c>
      <c r="R8" s="28" t="n">
        <f aca="false">SUM(R2:R7)</f>
        <v>14</v>
      </c>
      <c r="S8" s="28" t="n">
        <f aca="false">SUM(S2:S7)</f>
        <v>15.5</v>
      </c>
      <c r="T8" s="28" t="n">
        <f aca="false">SUM(T2:T7)</f>
        <v>25</v>
      </c>
      <c r="U8" s="28"/>
      <c r="V8" s="28"/>
    </row>
    <row r="10" customFormat="false" ht="15" hidden="false" customHeight="false" outlineLevel="0" collapsed="false">
      <c r="A10" s="29" t="s">
        <v>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9" min="8" style="0" width="40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</cols>
  <sheetData>
    <row r="1" customFormat="false" ht="23.85" hidden="false" customHeight="false" outlineLevel="0" collapsed="false">
      <c r="A1" s="10" t="s">
        <v>1710</v>
      </c>
      <c r="B1" s="10" t="s">
        <v>1622</v>
      </c>
      <c r="C1" s="10" t="s">
        <v>1623</v>
      </c>
      <c r="D1" s="10" t="s">
        <v>1711</v>
      </c>
      <c r="E1" s="10" t="s">
        <v>1712</v>
      </c>
      <c r="F1" s="10" t="s">
        <v>1713</v>
      </c>
      <c r="G1" s="10" t="s">
        <v>1714</v>
      </c>
      <c r="H1" s="10" t="s">
        <v>1715</v>
      </c>
      <c r="I1" s="10" t="s">
        <v>1642</v>
      </c>
      <c r="J1" s="10" t="s">
        <v>1716</v>
      </c>
      <c r="K1" s="10" t="s">
        <v>1717</v>
      </c>
      <c r="L1" s="10" t="s">
        <v>1718</v>
      </c>
    </row>
    <row r="2" customFormat="false" ht="23.85" hidden="false" customHeight="false" outlineLevel="0" collapsed="false">
      <c r="A2" s="24" t="s">
        <v>1719</v>
      </c>
      <c r="B2" s="24" t="s">
        <v>1644</v>
      </c>
      <c r="C2" s="24" t="n">
        <v>1</v>
      </c>
      <c r="D2" s="24" t="s">
        <v>1645</v>
      </c>
      <c r="E2" s="24" t="s">
        <v>1720</v>
      </c>
      <c r="F2" s="24" t="s">
        <v>1270</v>
      </c>
      <c r="G2" s="24" t="s">
        <v>1721</v>
      </c>
      <c r="H2" s="24" t="s">
        <v>1722</v>
      </c>
      <c r="I2" s="24" t="s">
        <v>1657</v>
      </c>
      <c r="J2" s="25"/>
      <c r="K2" s="24" t="s">
        <v>1723</v>
      </c>
      <c r="L2" s="30"/>
    </row>
    <row r="3" customFormat="false" ht="23.85" hidden="false" customHeight="false" outlineLevel="0" collapsed="false">
      <c r="A3" s="24" t="s">
        <v>1724</v>
      </c>
      <c r="B3" s="24" t="s">
        <v>1644</v>
      </c>
      <c r="C3" s="24" t="n">
        <v>1</v>
      </c>
      <c r="D3" s="24" t="s">
        <v>1645</v>
      </c>
      <c r="E3" s="24" t="s">
        <v>1725</v>
      </c>
      <c r="F3" s="24" t="s">
        <v>1270</v>
      </c>
      <c r="G3" s="24" t="s">
        <v>1721</v>
      </c>
      <c r="H3" s="24" t="s">
        <v>1722</v>
      </c>
      <c r="I3" s="24" t="s">
        <v>1657</v>
      </c>
      <c r="J3" s="25"/>
      <c r="K3" s="24" t="s">
        <v>1723</v>
      </c>
      <c r="L3" s="30"/>
    </row>
    <row r="4" customFormat="false" ht="23.85" hidden="false" customHeight="false" outlineLevel="0" collapsed="false">
      <c r="A4" s="24" t="s">
        <v>1726</v>
      </c>
      <c r="B4" s="24" t="s">
        <v>1644</v>
      </c>
      <c r="C4" s="24" t="n">
        <v>2</v>
      </c>
      <c r="D4" s="24" t="s">
        <v>1659</v>
      </c>
      <c r="E4" s="24" t="s">
        <v>1727</v>
      </c>
      <c r="F4" s="24" t="s">
        <v>1251</v>
      </c>
      <c r="G4" s="24" t="s">
        <v>1728</v>
      </c>
      <c r="H4" s="24" t="s">
        <v>1729</v>
      </c>
      <c r="I4" s="24" t="s">
        <v>1666</v>
      </c>
      <c r="J4" s="25"/>
      <c r="K4" s="24" t="s">
        <v>1723</v>
      </c>
      <c r="L4" s="30"/>
    </row>
    <row r="5" customFormat="false" ht="23.85" hidden="false" customHeight="false" outlineLevel="0" collapsed="false">
      <c r="A5" s="24" t="s">
        <v>1730</v>
      </c>
      <c r="B5" s="24" t="s">
        <v>1644</v>
      </c>
      <c r="C5" s="24" t="n">
        <v>2</v>
      </c>
      <c r="D5" s="24" t="s">
        <v>1659</v>
      </c>
      <c r="E5" s="24" t="s">
        <v>1731</v>
      </c>
      <c r="F5" s="24" t="s">
        <v>1251</v>
      </c>
      <c r="G5" s="24" t="s">
        <v>1728</v>
      </c>
      <c r="H5" s="24" t="s">
        <v>1729</v>
      </c>
      <c r="I5" s="24" t="s">
        <v>1666</v>
      </c>
      <c r="J5" s="25"/>
      <c r="K5" s="24" t="s">
        <v>1723</v>
      </c>
      <c r="L5" s="30"/>
    </row>
    <row r="6" customFormat="false" ht="23.85" hidden="false" customHeight="false" outlineLevel="0" collapsed="false">
      <c r="A6" s="24" t="s">
        <v>1732</v>
      </c>
      <c r="B6" s="24" t="s">
        <v>1644</v>
      </c>
      <c r="C6" s="24" t="n">
        <v>3</v>
      </c>
      <c r="D6" s="24" t="s">
        <v>1668</v>
      </c>
      <c r="E6" s="24" t="s">
        <v>1733</v>
      </c>
      <c r="F6" s="24" t="s">
        <v>1251</v>
      </c>
      <c r="G6" s="24" t="s">
        <v>1734</v>
      </c>
      <c r="H6" s="24" t="s">
        <v>1735</v>
      </c>
      <c r="I6" s="24" t="s">
        <v>1677</v>
      </c>
      <c r="J6" s="25"/>
      <c r="K6" s="24" t="s">
        <v>1723</v>
      </c>
      <c r="L6" s="30"/>
    </row>
    <row r="7" customFormat="false" ht="23.85" hidden="false" customHeight="false" outlineLevel="0" collapsed="false">
      <c r="A7" s="24" t="s">
        <v>1736</v>
      </c>
      <c r="B7" s="24" t="s">
        <v>1644</v>
      </c>
      <c r="C7" s="24" t="n">
        <v>3</v>
      </c>
      <c r="D7" s="24" t="s">
        <v>1668</v>
      </c>
      <c r="E7" s="24" t="s">
        <v>1737</v>
      </c>
      <c r="F7" s="24" t="s">
        <v>1251</v>
      </c>
      <c r="G7" s="24" t="s">
        <v>1734</v>
      </c>
      <c r="H7" s="24" t="s">
        <v>1735</v>
      </c>
      <c r="I7" s="24" t="s">
        <v>1677</v>
      </c>
      <c r="J7" s="25"/>
      <c r="K7" s="24" t="s">
        <v>1723</v>
      </c>
      <c r="L7" s="30"/>
    </row>
    <row r="8" customFormat="false" ht="23.85" hidden="false" customHeight="false" outlineLevel="0" collapsed="false">
      <c r="A8" s="24" t="s">
        <v>1738</v>
      </c>
      <c r="B8" s="24" t="s">
        <v>1644</v>
      </c>
      <c r="C8" s="24" t="n">
        <v>4</v>
      </c>
      <c r="D8" s="24" t="s">
        <v>1679</v>
      </c>
      <c r="E8" s="24" t="s">
        <v>1739</v>
      </c>
      <c r="F8" s="24" t="s">
        <v>1270</v>
      </c>
      <c r="G8" s="24" t="s">
        <v>1740</v>
      </c>
      <c r="H8" s="24" t="s">
        <v>1741</v>
      </c>
      <c r="I8" s="24" t="s">
        <v>1688</v>
      </c>
      <c r="J8" s="25"/>
      <c r="K8" s="24" t="s">
        <v>1723</v>
      </c>
      <c r="L8" s="30"/>
    </row>
    <row r="9" customFormat="false" ht="23.85" hidden="false" customHeight="false" outlineLevel="0" collapsed="false">
      <c r="A9" s="24" t="s">
        <v>1742</v>
      </c>
      <c r="B9" s="24" t="s">
        <v>1644</v>
      </c>
      <c r="C9" s="24" t="n">
        <v>4</v>
      </c>
      <c r="D9" s="24" t="s">
        <v>1679</v>
      </c>
      <c r="E9" s="24" t="s">
        <v>1743</v>
      </c>
      <c r="F9" s="24" t="s">
        <v>1270</v>
      </c>
      <c r="G9" s="24" t="s">
        <v>1740</v>
      </c>
      <c r="H9" s="24" t="s">
        <v>1741</v>
      </c>
      <c r="I9" s="24" t="s">
        <v>1688</v>
      </c>
      <c r="J9" s="25"/>
      <c r="K9" s="24" t="s">
        <v>1723</v>
      </c>
      <c r="L9" s="30"/>
    </row>
    <row r="10" customFormat="false" ht="23.85" hidden="false" customHeight="false" outlineLevel="0" collapsed="false">
      <c r="A10" s="24" t="s">
        <v>1744</v>
      </c>
      <c r="B10" s="24" t="s">
        <v>1644</v>
      </c>
      <c r="C10" s="24" t="n">
        <v>5</v>
      </c>
      <c r="D10" s="24" t="s">
        <v>1690</v>
      </c>
      <c r="E10" s="24" t="s">
        <v>1745</v>
      </c>
      <c r="F10" s="24" t="s">
        <v>1746</v>
      </c>
      <c r="G10" s="24" t="s">
        <v>1747</v>
      </c>
      <c r="H10" s="24" t="s">
        <v>1748</v>
      </c>
      <c r="I10" s="24" t="s">
        <v>1696</v>
      </c>
      <c r="J10" s="25"/>
      <c r="K10" s="24" t="s">
        <v>1723</v>
      </c>
      <c r="L10" s="30"/>
    </row>
    <row r="11" customFormat="false" ht="23.85" hidden="false" customHeight="false" outlineLevel="0" collapsed="false">
      <c r="A11" s="24" t="s">
        <v>1749</v>
      </c>
      <c r="B11" s="24" t="s">
        <v>1644</v>
      </c>
      <c r="C11" s="24" t="n">
        <v>5</v>
      </c>
      <c r="D11" s="24" t="s">
        <v>1690</v>
      </c>
      <c r="E11" s="24" t="s">
        <v>1750</v>
      </c>
      <c r="F11" s="24" t="s">
        <v>1746</v>
      </c>
      <c r="G11" s="24" t="s">
        <v>1747</v>
      </c>
      <c r="H11" s="24" t="s">
        <v>1748</v>
      </c>
      <c r="I11" s="24" t="s">
        <v>1696</v>
      </c>
      <c r="J11" s="25"/>
      <c r="K11" s="24" t="s">
        <v>1723</v>
      </c>
      <c r="L11" s="30"/>
    </row>
    <row r="12" customFormat="false" ht="23.85" hidden="false" customHeight="false" outlineLevel="0" collapsed="false">
      <c r="A12" s="24" t="s">
        <v>1751</v>
      </c>
      <c r="B12" s="24" t="s">
        <v>1644</v>
      </c>
      <c r="C12" s="24" t="n">
        <v>6</v>
      </c>
      <c r="D12" s="24" t="s">
        <v>1698</v>
      </c>
      <c r="E12" s="24" t="s">
        <v>1752</v>
      </c>
      <c r="F12" s="24" t="s">
        <v>1753</v>
      </c>
      <c r="G12" s="24" t="s">
        <v>1754</v>
      </c>
      <c r="H12" s="24" t="s">
        <v>1755</v>
      </c>
      <c r="I12" s="24" t="s">
        <v>1706</v>
      </c>
      <c r="J12" s="25"/>
      <c r="K12" s="24" t="s">
        <v>1723</v>
      </c>
      <c r="L12" s="30"/>
    </row>
    <row r="13" customFormat="false" ht="23.85" hidden="false" customHeight="false" outlineLevel="0" collapsed="false">
      <c r="A13" s="24" t="s">
        <v>1756</v>
      </c>
      <c r="B13" s="24" t="s">
        <v>1644</v>
      </c>
      <c r="C13" s="24" t="n">
        <v>6</v>
      </c>
      <c r="D13" s="24" t="s">
        <v>1698</v>
      </c>
      <c r="E13" s="24" t="s">
        <v>1757</v>
      </c>
      <c r="F13" s="24" t="s">
        <v>1753</v>
      </c>
      <c r="G13" s="24" t="s">
        <v>1754</v>
      </c>
      <c r="H13" s="24" t="s">
        <v>1755</v>
      </c>
      <c r="I13" s="24" t="s">
        <v>1706</v>
      </c>
      <c r="J13" s="25"/>
      <c r="K13" s="24" t="s">
        <v>1723</v>
      </c>
      <c r="L13" s="30"/>
    </row>
    <row r="15" customFormat="false" ht="15" hidden="false" customHeight="false" outlineLevel="0" collapsed="false">
      <c r="A15" s="29" t="s">
        <v>1758</v>
      </c>
    </row>
  </sheetData>
  <dataValidations count="2">
    <dataValidation allowBlank="false" errorStyle="stop" operator="between" showDropDown="false" showErrorMessage="false" showInputMessage="false" sqref="F2:F63" type="list">
      <formula1>"Low,Medium,High,Critical"</formula1>
      <formula2>0</formula2>
    </dataValidation>
    <dataValidation allowBlank="false" errorStyle="stop" operator="between" showDropDown="false" showErrorMessage="false" showInputMessage="false" sqref="K2:K63" type="list">
      <formula1>"Open,Mitigating,Closed"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9" min="7" style="0" width="10"/>
    <col collapsed="false" customWidth="true" hidden="false" outlineLevel="0" max="10" min="10" style="0" width="34"/>
    <col collapsed="false" customWidth="true" hidden="false" outlineLevel="0" max="11" min="11" style="0" width="18"/>
    <col collapsed="false" customWidth="true" hidden="false" outlineLevel="0" max="13" min="12" style="0" width="30"/>
    <col collapsed="false" customWidth="true" hidden="false" outlineLevel="0" max="14" min="14" style="0" width="12"/>
    <col collapsed="false" customWidth="true" hidden="false" outlineLevel="0" max="15" min="15" style="0" width="30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1" min="20" style="0" width="12"/>
    <col collapsed="false" customWidth="true" hidden="false" outlineLevel="0" max="22" min="22" style="0" width="24"/>
    <col collapsed="false" customWidth="true" hidden="false" outlineLevel="0" max="23" min="23" style="0" width="16"/>
    <col collapsed="false" customWidth="true" hidden="false" outlineLevel="0" max="25" min="24" style="0" width="12"/>
    <col collapsed="false" customWidth="true" hidden="false" outlineLevel="0" max="26" min="26" style="0" width="10"/>
    <col collapsed="false" customWidth="true" hidden="false" outlineLevel="0" max="27" min="27" style="0" width="12"/>
  </cols>
  <sheetData>
    <row r="1" customFormat="false" ht="42" hidden="false" customHeight="true" outlineLevel="0" collapsed="false">
      <c r="A1" s="10" t="s">
        <v>1759</v>
      </c>
      <c r="B1" s="10" t="s">
        <v>1760</v>
      </c>
      <c r="C1" s="10" t="s">
        <v>1761</v>
      </c>
      <c r="D1" s="10" t="s">
        <v>1762</v>
      </c>
      <c r="E1" s="10" t="s">
        <v>1763</v>
      </c>
      <c r="F1" s="10" t="s">
        <v>1764</v>
      </c>
      <c r="G1" s="10" t="s">
        <v>1765</v>
      </c>
      <c r="H1" s="10" t="s">
        <v>1766</v>
      </c>
      <c r="I1" s="10" t="s">
        <v>1767</v>
      </c>
      <c r="J1" s="10" t="s">
        <v>1768</v>
      </c>
      <c r="K1" s="10" t="s">
        <v>1769</v>
      </c>
      <c r="L1" s="10" t="s">
        <v>1770</v>
      </c>
      <c r="M1" s="10" t="s">
        <v>1771</v>
      </c>
      <c r="N1" s="10" t="s">
        <v>1772</v>
      </c>
      <c r="O1" s="10" t="s">
        <v>1773</v>
      </c>
      <c r="P1" s="10" t="s">
        <v>1774</v>
      </c>
      <c r="Q1" s="10" t="s">
        <v>1775</v>
      </c>
      <c r="R1" s="10" t="s">
        <v>1776</v>
      </c>
      <c r="S1" s="10" t="s">
        <v>1777</v>
      </c>
      <c r="T1" s="10" t="s">
        <v>1778</v>
      </c>
      <c r="U1" s="10" t="s">
        <v>1779</v>
      </c>
      <c r="V1" s="10" t="s">
        <v>1717</v>
      </c>
      <c r="W1" s="10" t="s">
        <v>1780</v>
      </c>
      <c r="X1" s="10" t="s">
        <v>1781</v>
      </c>
      <c r="Y1" s="10" t="s">
        <v>1782</v>
      </c>
      <c r="Z1" s="10" t="s">
        <v>1783</v>
      </c>
      <c r="AA1" s="10" t="s">
        <v>1784</v>
      </c>
    </row>
    <row r="2" customFormat="false" ht="15" hidden="false" customHeight="false" outlineLevel="0" collapsed="false">
      <c r="A2" s="31" t="str">
        <f aca="false">IF(B2="","","RCA-"&amp;TEXT(ROW()-1,"000"))</f>
        <v>RCA-001</v>
      </c>
      <c r="B2" s="32" t="s">
        <v>1785</v>
      </c>
      <c r="C2" s="32" t="s">
        <v>1786</v>
      </c>
      <c r="D2" s="33" t="n">
        <v>46280</v>
      </c>
      <c r="E2" s="33" t="n">
        <v>46280</v>
      </c>
      <c r="F2" s="32" t="s">
        <v>1787</v>
      </c>
      <c r="G2" s="32" t="s">
        <v>1270</v>
      </c>
      <c r="H2" s="32" t="s">
        <v>1788</v>
      </c>
      <c r="I2" s="32" t="s">
        <v>1788</v>
      </c>
      <c r="J2" s="32" t="s">
        <v>1789</v>
      </c>
      <c r="K2" s="32" t="s">
        <v>1790</v>
      </c>
      <c r="L2" s="32" t="s">
        <v>1791</v>
      </c>
      <c r="M2" s="32" t="s">
        <v>1792</v>
      </c>
      <c r="N2" s="33" t="n">
        <v>46281</v>
      </c>
      <c r="O2" s="32" t="s">
        <v>1793</v>
      </c>
      <c r="P2" s="32" t="s">
        <v>1794</v>
      </c>
      <c r="Q2" s="33" t="n">
        <v>46295</v>
      </c>
      <c r="R2" s="32" t="s">
        <v>830</v>
      </c>
      <c r="S2" s="32" t="s">
        <v>1794</v>
      </c>
      <c r="T2" s="33" t="n">
        <v>46295</v>
      </c>
      <c r="U2" s="33"/>
      <c r="V2" s="32" t="s">
        <v>1795</v>
      </c>
      <c r="W2" s="32"/>
      <c r="X2" s="32"/>
      <c r="Y2" s="32" t="s">
        <v>1278</v>
      </c>
      <c r="Z2" s="31" t="n">
        <f aca="false">IF(E2="","",IF(U2&lt;&gt;"",U2-E2,README!$B$4-E2))</f>
        <v>14</v>
      </c>
      <c r="AA2" s="31" t="str">
        <f aca="false">IF(OR(T2="",U2=""),"",IF(U2&lt;=T2,"Yes","No"))</f>
        <v/>
      </c>
    </row>
    <row r="3" customFormat="false" ht="15" hidden="false" customHeight="false" outlineLevel="0" collapsed="false">
      <c r="A3" s="34" t="str">
        <f aca="false">IF(B3="","","RCA-"&amp;TEXT(ROW()-1,"000"))</f>
        <v/>
      </c>
      <c r="B3" s="35"/>
      <c r="C3" s="35"/>
      <c r="D3" s="36"/>
      <c r="E3" s="36"/>
      <c r="F3" s="35"/>
      <c r="G3" s="35"/>
      <c r="H3" s="35"/>
      <c r="I3" s="35"/>
      <c r="J3" s="35"/>
      <c r="K3" s="35"/>
      <c r="L3" s="35"/>
      <c r="M3" s="35"/>
      <c r="N3" s="36"/>
      <c r="O3" s="35"/>
      <c r="P3" s="35"/>
      <c r="Q3" s="36"/>
      <c r="R3" s="35"/>
      <c r="S3" s="35"/>
      <c r="T3" s="36"/>
      <c r="U3" s="36"/>
      <c r="V3" s="35"/>
      <c r="W3" s="35"/>
      <c r="X3" s="35"/>
      <c r="Y3" s="35"/>
      <c r="Z3" s="34" t="str">
        <f aca="false">IF(E3="","",IF(U3&lt;&gt;"",U3-E3,README!$B$4-E3))</f>
        <v/>
      </c>
      <c r="AA3" s="34" t="str">
        <f aca="false">IF(OR(T3="",U3=""),"",IF(U3&lt;=T3,"Yes","No"))</f>
        <v/>
      </c>
    </row>
    <row r="4" customFormat="false" ht="15" hidden="false" customHeight="false" outlineLevel="0" collapsed="false">
      <c r="A4" s="34" t="str">
        <f aca="false">IF(B4="","","RCA-"&amp;TEXT(ROW()-1,"000"))</f>
        <v/>
      </c>
      <c r="B4" s="35"/>
      <c r="C4" s="35"/>
      <c r="D4" s="36"/>
      <c r="E4" s="36"/>
      <c r="F4" s="35"/>
      <c r="G4" s="35"/>
      <c r="H4" s="35"/>
      <c r="I4" s="35"/>
      <c r="J4" s="35"/>
      <c r="K4" s="35"/>
      <c r="L4" s="35"/>
      <c r="M4" s="35"/>
      <c r="N4" s="36"/>
      <c r="O4" s="35"/>
      <c r="P4" s="35"/>
      <c r="Q4" s="36"/>
      <c r="R4" s="35"/>
      <c r="S4" s="35"/>
      <c r="T4" s="36"/>
      <c r="U4" s="36"/>
      <c r="V4" s="35"/>
      <c r="W4" s="35"/>
      <c r="X4" s="35"/>
      <c r="Y4" s="35"/>
      <c r="Z4" s="34" t="str">
        <f aca="false">IF(E4="","",IF(U4&lt;&gt;"",U4-E4,README!$B$4-E4))</f>
        <v/>
      </c>
      <c r="AA4" s="34" t="str">
        <f aca="false">IF(OR(T4="",U4=""),"",IF(U4&lt;=T4,"Yes","No"))</f>
        <v/>
      </c>
    </row>
    <row r="5" customFormat="false" ht="15" hidden="false" customHeight="false" outlineLevel="0" collapsed="false">
      <c r="A5" s="34" t="str">
        <f aca="false">IF(B5="","","RCA-"&amp;TEXT(ROW()-1,"000"))</f>
        <v/>
      </c>
      <c r="B5" s="35"/>
      <c r="C5" s="35"/>
      <c r="D5" s="36"/>
      <c r="E5" s="36"/>
      <c r="F5" s="35"/>
      <c r="G5" s="35"/>
      <c r="H5" s="35"/>
      <c r="I5" s="35"/>
      <c r="J5" s="35"/>
      <c r="K5" s="35"/>
      <c r="L5" s="35"/>
      <c r="M5" s="35"/>
      <c r="N5" s="36"/>
      <c r="O5" s="35"/>
      <c r="P5" s="35"/>
      <c r="Q5" s="36"/>
      <c r="R5" s="35"/>
      <c r="S5" s="35"/>
      <c r="T5" s="36"/>
      <c r="U5" s="36"/>
      <c r="V5" s="35"/>
      <c r="W5" s="35"/>
      <c r="X5" s="35"/>
      <c r="Y5" s="35"/>
      <c r="Z5" s="34" t="str">
        <f aca="false">IF(E5="","",IF(U5&lt;&gt;"",U5-E5,README!$B$4-E5))</f>
        <v/>
      </c>
      <c r="AA5" s="34" t="str">
        <f aca="false">IF(OR(T5="",U5=""),"",IF(U5&lt;=T5,"Yes","No"))</f>
        <v/>
      </c>
    </row>
    <row r="6" customFormat="false" ht="15" hidden="false" customHeight="false" outlineLevel="0" collapsed="false">
      <c r="A6" s="34" t="str">
        <f aca="false">IF(B6="","","RCA-"&amp;TEXT(ROW()-1,"000"))</f>
        <v/>
      </c>
      <c r="B6" s="35"/>
      <c r="C6" s="35"/>
      <c r="D6" s="36"/>
      <c r="E6" s="36"/>
      <c r="F6" s="35"/>
      <c r="G6" s="35"/>
      <c r="H6" s="35"/>
      <c r="I6" s="35"/>
      <c r="J6" s="35"/>
      <c r="K6" s="35"/>
      <c r="L6" s="35"/>
      <c r="M6" s="35"/>
      <c r="N6" s="36"/>
      <c r="O6" s="35"/>
      <c r="P6" s="35"/>
      <c r="Q6" s="36"/>
      <c r="R6" s="35"/>
      <c r="S6" s="35"/>
      <c r="T6" s="36"/>
      <c r="U6" s="36"/>
      <c r="V6" s="35"/>
      <c r="W6" s="35"/>
      <c r="X6" s="35"/>
      <c r="Y6" s="35"/>
      <c r="Z6" s="34" t="str">
        <f aca="false">IF(E6="","",IF(U6&lt;&gt;"",U6-E6,README!$B$4-E6))</f>
        <v/>
      </c>
      <c r="AA6" s="34" t="str">
        <f aca="false">IF(OR(T6="",U6=""),"",IF(U6&lt;=T6,"Yes","No"))</f>
        <v/>
      </c>
    </row>
    <row r="7" customFormat="false" ht="15" hidden="false" customHeight="false" outlineLevel="0" collapsed="false">
      <c r="A7" s="34" t="str">
        <f aca="false">IF(B7="","","RCA-"&amp;TEXT(ROW()-1,"000"))</f>
        <v/>
      </c>
      <c r="B7" s="35"/>
      <c r="C7" s="35"/>
      <c r="D7" s="36"/>
      <c r="E7" s="36"/>
      <c r="F7" s="35"/>
      <c r="G7" s="35"/>
      <c r="H7" s="35"/>
      <c r="I7" s="35"/>
      <c r="J7" s="35"/>
      <c r="K7" s="35"/>
      <c r="L7" s="35"/>
      <c r="M7" s="35"/>
      <c r="N7" s="36"/>
      <c r="O7" s="35"/>
      <c r="P7" s="35"/>
      <c r="Q7" s="36"/>
      <c r="R7" s="35"/>
      <c r="S7" s="35"/>
      <c r="T7" s="36"/>
      <c r="U7" s="36"/>
      <c r="V7" s="35"/>
      <c r="W7" s="35"/>
      <c r="X7" s="35"/>
      <c r="Y7" s="35"/>
      <c r="Z7" s="34" t="str">
        <f aca="false">IF(E7="","",IF(U7&lt;&gt;"",U7-E7,README!$B$4-E7))</f>
        <v/>
      </c>
      <c r="AA7" s="34" t="str">
        <f aca="false">IF(OR(T7="",U7=""),"",IF(U7&lt;=T7,"Yes","No"))</f>
        <v/>
      </c>
    </row>
    <row r="8" customFormat="false" ht="15" hidden="false" customHeight="false" outlineLevel="0" collapsed="false">
      <c r="A8" s="34" t="str">
        <f aca="false">IF(B8="","","RCA-"&amp;TEXT(ROW()-1,"000"))</f>
        <v/>
      </c>
      <c r="B8" s="35"/>
      <c r="C8" s="35"/>
      <c r="D8" s="36"/>
      <c r="E8" s="36"/>
      <c r="F8" s="35"/>
      <c r="G8" s="35"/>
      <c r="H8" s="35"/>
      <c r="I8" s="35"/>
      <c r="J8" s="35"/>
      <c r="K8" s="35"/>
      <c r="L8" s="35"/>
      <c r="M8" s="35"/>
      <c r="N8" s="36"/>
      <c r="O8" s="35"/>
      <c r="P8" s="35"/>
      <c r="Q8" s="36"/>
      <c r="R8" s="35"/>
      <c r="S8" s="35"/>
      <c r="T8" s="36"/>
      <c r="U8" s="36"/>
      <c r="V8" s="35"/>
      <c r="W8" s="35"/>
      <c r="X8" s="35"/>
      <c r="Y8" s="35"/>
      <c r="Z8" s="34" t="str">
        <f aca="false">IF(E8="","",IF(U8&lt;&gt;"",U8-E8,README!$B$4-E8))</f>
        <v/>
      </c>
      <c r="AA8" s="34" t="str">
        <f aca="false">IF(OR(T8="",U8=""),"",IF(U8&lt;=T8,"Yes","No"))</f>
        <v/>
      </c>
    </row>
    <row r="9" customFormat="false" ht="15" hidden="false" customHeight="false" outlineLevel="0" collapsed="false">
      <c r="A9" s="34" t="str">
        <f aca="false">IF(B9="","","RCA-"&amp;TEXT(ROW()-1,"000"))</f>
        <v/>
      </c>
      <c r="B9" s="35"/>
      <c r="C9" s="35"/>
      <c r="D9" s="36"/>
      <c r="E9" s="36"/>
      <c r="F9" s="35"/>
      <c r="G9" s="35"/>
      <c r="H9" s="35"/>
      <c r="I9" s="35"/>
      <c r="J9" s="35"/>
      <c r="K9" s="35"/>
      <c r="L9" s="35"/>
      <c r="M9" s="35"/>
      <c r="N9" s="36"/>
      <c r="O9" s="35"/>
      <c r="P9" s="35"/>
      <c r="Q9" s="36"/>
      <c r="R9" s="35"/>
      <c r="S9" s="35"/>
      <c r="T9" s="36"/>
      <c r="U9" s="36"/>
      <c r="V9" s="35"/>
      <c r="W9" s="35"/>
      <c r="X9" s="35"/>
      <c r="Y9" s="35"/>
      <c r="Z9" s="34" t="str">
        <f aca="false">IF(E9="","",IF(U9&lt;&gt;"",U9-E9,README!$B$4-E9))</f>
        <v/>
      </c>
      <c r="AA9" s="34" t="str">
        <f aca="false">IF(OR(T9="",U9=""),"",IF(U9&lt;=T9,"Yes","No"))</f>
        <v/>
      </c>
    </row>
    <row r="10" customFormat="false" ht="15" hidden="false" customHeight="false" outlineLevel="0" collapsed="false">
      <c r="A10" s="34" t="str">
        <f aca="false">IF(B10="","","RCA-"&amp;TEXT(ROW()-1,"000"))</f>
        <v/>
      </c>
      <c r="B10" s="35"/>
      <c r="C10" s="35"/>
      <c r="D10" s="36"/>
      <c r="E10" s="36"/>
      <c r="F10" s="35"/>
      <c r="G10" s="35"/>
      <c r="H10" s="35"/>
      <c r="I10" s="35"/>
      <c r="J10" s="35"/>
      <c r="K10" s="35"/>
      <c r="L10" s="35"/>
      <c r="M10" s="35"/>
      <c r="N10" s="36"/>
      <c r="O10" s="35"/>
      <c r="P10" s="35"/>
      <c r="Q10" s="36"/>
      <c r="R10" s="35"/>
      <c r="S10" s="35"/>
      <c r="T10" s="36"/>
      <c r="U10" s="36"/>
      <c r="V10" s="35"/>
      <c r="W10" s="35"/>
      <c r="X10" s="35"/>
      <c r="Y10" s="35"/>
      <c r="Z10" s="34" t="str">
        <f aca="false">IF(E10="","",IF(U10&lt;&gt;"",U10-E10,README!$B$4-E10))</f>
        <v/>
      </c>
      <c r="AA10" s="34" t="str">
        <f aca="false">IF(OR(T10="",U10=""),"",IF(U10&lt;=T10,"Yes","No"))</f>
        <v/>
      </c>
    </row>
    <row r="11" customFormat="false" ht="15" hidden="false" customHeight="false" outlineLevel="0" collapsed="false">
      <c r="A11" s="34" t="str">
        <f aca="false">IF(B11="","","RCA-"&amp;TEXT(ROW()-1,"000"))</f>
        <v/>
      </c>
      <c r="B11" s="35"/>
      <c r="C11" s="35"/>
      <c r="D11" s="36"/>
      <c r="E11" s="36"/>
      <c r="F11" s="35"/>
      <c r="G11" s="35"/>
      <c r="H11" s="35"/>
      <c r="I11" s="35"/>
      <c r="J11" s="35"/>
      <c r="K11" s="35"/>
      <c r="L11" s="35"/>
      <c r="M11" s="35"/>
      <c r="N11" s="36"/>
      <c r="O11" s="35"/>
      <c r="P11" s="35"/>
      <c r="Q11" s="36"/>
      <c r="R11" s="35"/>
      <c r="S11" s="35"/>
      <c r="T11" s="36"/>
      <c r="U11" s="36"/>
      <c r="V11" s="35"/>
      <c r="W11" s="35"/>
      <c r="X11" s="35"/>
      <c r="Y11" s="35"/>
      <c r="Z11" s="34" t="str">
        <f aca="false">IF(E11="","",IF(U11&lt;&gt;"",U11-E11,README!$B$4-E11))</f>
        <v/>
      </c>
      <c r="AA11" s="34" t="str">
        <f aca="false">IF(OR(T11="",U11=""),"",IF(U11&lt;=T11,"Yes","No"))</f>
        <v/>
      </c>
    </row>
    <row r="12" customFormat="false" ht="15" hidden="false" customHeight="false" outlineLevel="0" collapsed="false">
      <c r="A12" s="34" t="str">
        <f aca="false">IF(B12="","","RCA-"&amp;TEXT(ROW()-1,"000"))</f>
        <v/>
      </c>
      <c r="B12" s="35"/>
      <c r="C12" s="35"/>
      <c r="D12" s="36"/>
      <c r="E12" s="36"/>
      <c r="F12" s="35"/>
      <c r="G12" s="35"/>
      <c r="H12" s="35"/>
      <c r="I12" s="35"/>
      <c r="J12" s="35"/>
      <c r="K12" s="35"/>
      <c r="L12" s="35"/>
      <c r="M12" s="35"/>
      <c r="N12" s="36"/>
      <c r="O12" s="35"/>
      <c r="P12" s="35"/>
      <c r="Q12" s="36"/>
      <c r="R12" s="35"/>
      <c r="S12" s="35"/>
      <c r="T12" s="36"/>
      <c r="U12" s="36"/>
      <c r="V12" s="35"/>
      <c r="W12" s="35"/>
      <c r="X12" s="35"/>
      <c r="Y12" s="35"/>
      <c r="Z12" s="34" t="str">
        <f aca="false">IF(E12="","",IF(U12&lt;&gt;"",U12-E12,README!$B$4-E12))</f>
        <v/>
      </c>
      <c r="AA12" s="34" t="str">
        <f aca="false">IF(OR(T12="",U12=""),"",IF(U12&lt;=T12,"Yes","No"))</f>
        <v/>
      </c>
    </row>
    <row r="13" customFormat="false" ht="15" hidden="false" customHeight="false" outlineLevel="0" collapsed="false">
      <c r="A13" s="34" t="str">
        <f aca="false">IF(B13="","","RCA-"&amp;TEXT(ROW()-1,"000"))</f>
        <v/>
      </c>
      <c r="B13" s="35"/>
      <c r="C13" s="35"/>
      <c r="D13" s="36"/>
      <c r="E13" s="36"/>
      <c r="F13" s="35"/>
      <c r="G13" s="35"/>
      <c r="H13" s="35"/>
      <c r="I13" s="35"/>
      <c r="J13" s="35"/>
      <c r="K13" s="35"/>
      <c r="L13" s="35"/>
      <c r="M13" s="35"/>
      <c r="N13" s="36"/>
      <c r="O13" s="35"/>
      <c r="P13" s="35"/>
      <c r="Q13" s="36"/>
      <c r="R13" s="35"/>
      <c r="S13" s="35"/>
      <c r="T13" s="36"/>
      <c r="U13" s="36"/>
      <c r="V13" s="35"/>
      <c r="W13" s="35"/>
      <c r="X13" s="35"/>
      <c r="Y13" s="35"/>
      <c r="Z13" s="34" t="str">
        <f aca="false">IF(E13="","",IF(U13&lt;&gt;"",U13-E13,README!$B$4-E13))</f>
        <v/>
      </c>
      <c r="AA13" s="34" t="str">
        <f aca="false">IF(OR(T13="",U13=""),"",IF(U13&lt;=T13,"Yes","No"))</f>
        <v/>
      </c>
    </row>
    <row r="14" customFormat="false" ht="15" hidden="false" customHeight="false" outlineLevel="0" collapsed="false">
      <c r="A14" s="34" t="str">
        <f aca="false">IF(B14="","","RCA-"&amp;TEXT(ROW()-1,"000"))</f>
        <v/>
      </c>
      <c r="B14" s="35"/>
      <c r="C14" s="35"/>
      <c r="D14" s="36"/>
      <c r="E14" s="36"/>
      <c r="F14" s="35"/>
      <c r="G14" s="35"/>
      <c r="H14" s="35"/>
      <c r="I14" s="35"/>
      <c r="J14" s="35"/>
      <c r="K14" s="35"/>
      <c r="L14" s="35"/>
      <c r="M14" s="35"/>
      <c r="N14" s="36"/>
      <c r="O14" s="35"/>
      <c r="P14" s="35"/>
      <c r="Q14" s="36"/>
      <c r="R14" s="35"/>
      <c r="S14" s="35"/>
      <c r="T14" s="36"/>
      <c r="U14" s="36"/>
      <c r="V14" s="35"/>
      <c r="W14" s="35"/>
      <c r="X14" s="35"/>
      <c r="Y14" s="35"/>
      <c r="Z14" s="34" t="str">
        <f aca="false">IF(E14="","",IF(U14&lt;&gt;"",U14-E14,README!$B$4-E14))</f>
        <v/>
      </c>
      <c r="AA14" s="34" t="str">
        <f aca="false">IF(OR(T14="",U14=""),"",IF(U14&lt;=T14,"Yes","No"))</f>
        <v/>
      </c>
    </row>
    <row r="15" customFormat="false" ht="15" hidden="false" customHeight="false" outlineLevel="0" collapsed="false">
      <c r="A15" s="34" t="str">
        <f aca="false">IF(B15="","","RCA-"&amp;TEXT(ROW()-1,"000"))</f>
        <v/>
      </c>
      <c r="B15" s="35"/>
      <c r="C15" s="35"/>
      <c r="D15" s="36"/>
      <c r="E15" s="36"/>
      <c r="F15" s="35"/>
      <c r="G15" s="35"/>
      <c r="H15" s="35"/>
      <c r="I15" s="35"/>
      <c r="J15" s="35"/>
      <c r="K15" s="35"/>
      <c r="L15" s="35"/>
      <c r="M15" s="35"/>
      <c r="N15" s="36"/>
      <c r="O15" s="35"/>
      <c r="P15" s="35"/>
      <c r="Q15" s="36"/>
      <c r="R15" s="35"/>
      <c r="S15" s="35"/>
      <c r="T15" s="36"/>
      <c r="U15" s="36"/>
      <c r="V15" s="35"/>
      <c r="W15" s="35"/>
      <c r="X15" s="35"/>
      <c r="Y15" s="35"/>
      <c r="Z15" s="34" t="str">
        <f aca="false">IF(E15="","",IF(U15&lt;&gt;"",U15-E15,README!$B$4-E15))</f>
        <v/>
      </c>
      <c r="AA15" s="34" t="str">
        <f aca="false">IF(OR(T15="",U15=""),"",IF(U15&lt;=T15,"Yes","No"))</f>
        <v/>
      </c>
    </row>
    <row r="16" customFormat="false" ht="15" hidden="false" customHeight="false" outlineLevel="0" collapsed="false">
      <c r="A16" s="34" t="str">
        <f aca="false">IF(B16="","","RCA-"&amp;TEXT(ROW()-1,"000"))</f>
        <v/>
      </c>
      <c r="B16" s="35"/>
      <c r="C16" s="35"/>
      <c r="D16" s="36"/>
      <c r="E16" s="36"/>
      <c r="F16" s="35"/>
      <c r="G16" s="35"/>
      <c r="H16" s="35"/>
      <c r="I16" s="35"/>
      <c r="J16" s="35"/>
      <c r="K16" s="35"/>
      <c r="L16" s="35"/>
      <c r="M16" s="35"/>
      <c r="N16" s="36"/>
      <c r="O16" s="35"/>
      <c r="P16" s="35"/>
      <c r="Q16" s="36"/>
      <c r="R16" s="35"/>
      <c r="S16" s="35"/>
      <c r="T16" s="36"/>
      <c r="U16" s="36"/>
      <c r="V16" s="35"/>
      <c r="W16" s="35"/>
      <c r="X16" s="35"/>
      <c r="Y16" s="35"/>
      <c r="Z16" s="34" t="str">
        <f aca="false">IF(E16="","",IF(U16&lt;&gt;"",U16-E16,README!$B$4-E16))</f>
        <v/>
      </c>
      <c r="AA16" s="34" t="str">
        <f aca="false">IF(OR(T16="",U16=""),"",IF(U16&lt;=T16,"Yes","No"))</f>
        <v/>
      </c>
    </row>
    <row r="17" customFormat="false" ht="15" hidden="false" customHeight="false" outlineLevel="0" collapsed="false">
      <c r="A17" s="34" t="str">
        <f aca="false">IF(B17="","","RCA-"&amp;TEXT(ROW()-1,"000"))</f>
        <v/>
      </c>
      <c r="B17" s="35"/>
      <c r="C17" s="35"/>
      <c r="D17" s="36"/>
      <c r="E17" s="36"/>
      <c r="F17" s="35"/>
      <c r="G17" s="35"/>
      <c r="H17" s="35"/>
      <c r="I17" s="35"/>
      <c r="J17" s="35"/>
      <c r="K17" s="35"/>
      <c r="L17" s="35"/>
      <c r="M17" s="35"/>
      <c r="N17" s="36"/>
      <c r="O17" s="35"/>
      <c r="P17" s="35"/>
      <c r="Q17" s="36"/>
      <c r="R17" s="35"/>
      <c r="S17" s="35"/>
      <c r="T17" s="36"/>
      <c r="U17" s="36"/>
      <c r="V17" s="35"/>
      <c r="W17" s="35"/>
      <c r="X17" s="35"/>
      <c r="Y17" s="35"/>
      <c r="Z17" s="34" t="str">
        <f aca="false">IF(E17="","",IF(U17&lt;&gt;"",U17-E17,README!$B$4-E17))</f>
        <v/>
      </c>
      <c r="AA17" s="34" t="str">
        <f aca="false">IF(OR(T17="",U17=""),"",IF(U17&lt;=T17,"Yes","No"))</f>
        <v/>
      </c>
    </row>
    <row r="18" customFormat="false" ht="15" hidden="false" customHeight="false" outlineLevel="0" collapsed="false">
      <c r="A18" s="34" t="str">
        <f aca="false">IF(B18="","","RCA-"&amp;TEXT(ROW()-1,"000"))</f>
        <v/>
      </c>
      <c r="B18" s="35"/>
      <c r="C18" s="35"/>
      <c r="D18" s="36"/>
      <c r="E18" s="36"/>
      <c r="F18" s="35"/>
      <c r="G18" s="35"/>
      <c r="H18" s="35"/>
      <c r="I18" s="35"/>
      <c r="J18" s="35"/>
      <c r="K18" s="35"/>
      <c r="L18" s="35"/>
      <c r="M18" s="35"/>
      <c r="N18" s="36"/>
      <c r="O18" s="35"/>
      <c r="P18" s="35"/>
      <c r="Q18" s="36"/>
      <c r="R18" s="35"/>
      <c r="S18" s="35"/>
      <c r="T18" s="36"/>
      <c r="U18" s="36"/>
      <c r="V18" s="35"/>
      <c r="W18" s="35"/>
      <c r="X18" s="35"/>
      <c r="Y18" s="35"/>
      <c r="Z18" s="34" t="str">
        <f aca="false">IF(E18="","",IF(U18&lt;&gt;"",U18-E18,README!$B$4-E18))</f>
        <v/>
      </c>
      <c r="AA18" s="34" t="str">
        <f aca="false">IF(OR(T18="",U18=""),"",IF(U18&lt;=T18,"Yes","No"))</f>
        <v/>
      </c>
    </row>
    <row r="19" customFormat="false" ht="15" hidden="false" customHeight="false" outlineLevel="0" collapsed="false">
      <c r="A19" s="34" t="str">
        <f aca="false">IF(B19="","","RCA-"&amp;TEXT(ROW()-1,"000"))</f>
        <v/>
      </c>
      <c r="B19" s="35"/>
      <c r="C19" s="35"/>
      <c r="D19" s="36"/>
      <c r="E19" s="36"/>
      <c r="F19" s="35"/>
      <c r="G19" s="35"/>
      <c r="H19" s="35"/>
      <c r="I19" s="35"/>
      <c r="J19" s="35"/>
      <c r="K19" s="35"/>
      <c r="L19" s="35"/>
      <c r="M19" s="35"/>
      <c r="N19" s="36"/>
      <c r="O19" s="35"/>
      <c r="P19" s="35"/>
      <c r="Q19" s="36"/>
      <c r="R19" s="35"/>
      <c r="S19" s="35"/>
      <c r="T19" s="36"/>
      <c r="U19" s="36"/>
      <c r="V19" s="35"/>
      <c r="W19" s="35"/>
      <c r="X19" s="35"/>
      <c r="Y19" s="35"/>
      <c r="Z19" s="34" t="str">
        <f aca="false">IF(E19="","",IF(U19&lt;&gt;"",U19-E19,README!$B$4-E19))</f>
        <v/>
      </c>
      <c r="AA19" s="34" t="str">
        <f aca="false">IF(OR(T19="",U19=""),"",IF(U19&lt;=T19,"Yes","No"))</f>
        <v/>
      </c>
    </row>
    <row r="20" customFormat="false" ht="15" hidden="false" customHeight="false" outlineLevel="0" collapsed="false">
      <c r="A20" s="34" t="str">
        <f aca="false">IF(B20="","","RCA-"&amp;TEXT(ROW()-1,"000"))</f>
        <v/>
      </c>
      <c r="B20" s="35"/>
      <c r="C20" s="35"/>
      <c r="D20" s="36"/>
      <c r="E20" s="36"/>
      <c r="F20" s="35"/>
      <c r="G20" s="35"/>
      <c r="H20" s="35"/>
      <c r="I20" s="35"/>
      <c r="J20" s="35"/>
      <c r="K20" s="35"/>
      <c r="L20" s="35"/>
      <c r="M20" s="35"/>
      <c r="N20" s="36"/>
      <c r="O20" s="35"/>
      <c r="P20" s="35"/>
      <c r="Q20" s="36"/>
      <c r="R20" s="35"/>
      <c r="S20" s="35"/>
      <c r="T20" s="36"/>
      <c r="U20" s="36"/>
      <c r="V20" s="35"/>
      <c r="W20" s="35"/>
      <c r="X20" s="35"/>
      <c r="Y20" s="35"/>
      <c r="Z20" s="34" t="str">
        <f aca="false">IF(E20="","",IF(U20&lt;&gt;"",U20-E20,README!$B$4-E20))</f>
        <v/>
      </c>
      <c r="AA20" s="34" t="str">
        <f aca="false">IF(OR(T20="",U20=""),"",IF(U20&lt;=T20,"Yes","No"))</f>
        <v/>
      </c>
    </row>
    <row r="21" customFormat="false" ht="15" hidden="false" customHeight="false" outlineLevel="0" collapsed="false">
      <c r="A21" s="34" t="str">
        <f aca="false">IF(B21="","","RCA-"&amp;TEXT(ROW()-1,"000"))</f>
        <v/>
      </c>
      <c r="B21" s="35"/>
      <c r="C21" s="35"/>
      <c r="D21" s="36"/>
      <c r="E21" s="36"/>
      <c r="F21" s="35"/>
      <c r="G21" s="35"/>
      <c r="H21" s="35"/>
      <c r="I21" s="35"/>
      <c r="J21" s="35"/>
      <c r="K21" s="35"/>
      <c r="L21" s="35"/>
      <c r="M21" s="35"/>
      <c r="N21" s="36"/>
      <c r="O21" s="35"/>
      <c r="P21" s="35"/>
      <c r="Q21" s="36"/>
      <c r="R21" s="35"/>
      <c r="S21" s="35"/>
      <c r="T21" s="36"/>
      <c r="U21" s="36"/>
      <c r="V21" s="35"/>
      <c r="W21" s="35"/>
      <c r="X21" s="35"/>
      <c r="Y21" s="35"/>
      <c r="Z21" s="34" t="str">
        <f aca="false">IF(E21="","",IF(U21&lt;&gt;"",U21-E21,README!$B$4-E21))</f>
        <v/>
      </c>
      <c r="AA21" s="34" t="str">
        <f aca="false">IF(OR(T21="",U21=""),"",IF(U21&lt;=T21,"Yes","No"))</f>
        <v/>
      </c>
    </row>
    <row r="22" customFormat="false" ht="15" hidden="false" customHeight="false" outlineLevel="0" collapsed="false">
      <c r="A22" s="34" t="str">
        <f aca="false">IF(B22="","","RCA-"&amp;TEXT(ROW()-1,"000"))</f>
        <v/>
      </c>
      <c r="B22" s="35"/>
      <c r="C22" s="35"/>
      <c r="D22" s="36"/>
      <c r="E22" s="36"/>
      <c r="F22" s="35"/>
      <c r="G22" s="35"/>
      <c r="H22" s="35"/>
      <c r="I22" s="35"/>
      <c r="J22" s="35"/>
      <c r="K22" s="35"/>
      <c r="L22" s="35"/>
      <c r="M22" s="35"/>
      <c r="N22" s="36"/>
      <c r="O22" s="35"/>
      <c r="P22" s="35"/>
      <c r="Q22" s="36"/>
      <c r="R22" s="35"/>
      <c r="S22" s="35"/>
      <c r="T22" s="36"/>
      <c r="U22" s="36"/>
      <c r="V22" s="35"/>
      <c r="W22" s="35"/>
      <c r="X22" s="35"/>
      <c r="Y22" s="35"/>
      <c r="Z22" s="34" t="str">
        <f aca="false">IF(E22="","",IF(U22&lt;&gt;"",U22-E22,README!$B$4-E22))</f>
        <v/>
      </c>
      <c r="AA22" s="34" t="str">
        <f aca="false">IF(OR(T22="",U22=""),"",IF(U22&lt;=T22,"Yes","No"))</f>
        <v/>
      </c>
    </row>
    <row r="23" customFormat="false" ht="15" hidden="false" customHeight="false" outlineLevel="0" collapsed="false">
      <c r="A23" s="34" t="str">
        <f aca="false">IF(B23="","","RCA-"&amp;TEXT(ROW()-1,"000"))</f>
        <v/>
      </c>
      <c r="B23" s="35"/>
      <c r="C23" s="35"/>
      <c r="D23" s="36"/>
      <c r="E23" s="36"/>
      <c r="F23" s="35"/>
      <c r="G23" s="35"/>
      <c r="H23" s="35"/>
      <c r="I23" s="35"/>
      <c r="J23" s="35"/>
      <c r="K23" s="35"/>
      <c r="L23" s="35"/>
      <c r="M23" s="35"/>
      <c r="N23" s="36"/>
      <c r="O23" s="35"/>
      <c r="P23" s="35"/>
      <c r="Q23" s="36"/>
      <c r="R23" s="35"/>
      <c r="S23" s="35"/>
      <c r="T23" s="36"/>
      <c r="U23" s="36"/>
      <c r="V23" s="35"/>
      <c r="W23" s="35"/>
      <c r="X23" s="35"/>
      <c r="Y23" s="35"/>
      <c r="Z23" s="34" t="str">
        <f aca="false">IF(E23="","",IF(U23&lt;&gt;"",U23-E23,README!$B$4-E23))</f>
        <v/>
      </c>
      <c r="AA23" s="34" t="str">
        <f aca="false">IF(OR(T23="",U23=""),"",IF(U23&lt;=T23,"Yes","No"))</f>
        <v/>
      </c>
    </row>
    <row r="24" customFormat="false" ht="15" hidden="false" customHeight="false" outlineLevel="0" collapsed="false">
      <c r="A24" s="34" t="str">
        <f aca="false">IF(B24="","","RCA-"&amp;TEXT(ROW()-1,"000"))</f>
        <v/>
      </c>
      <c r="B24" s="35"/>
      <c r="C24" s="35"/>
      <c r="D24" s="36"/>
      <c r="E24" s="36"/>
      <c r="F24" s="35"/>
      <c r="G24" s="35"/>
      <c r="H24" s="35"/>
      <c r="I24" s="35"/>
      <c r="J24" s="35"/>
      <c r="K24" s="35"/>
      <c r="L24" s="35"/>
      <c r="M24" s="35"/>
      <c r="N24" s="36"/>
      <c r="O24" s="35"/>
      <c r="P24" s="35"/>
      <c r="Q24" s="36"/>
      <c r="R24" s="35"/>
      <c r="S24" s="35"/>
      <c r="T24" s="36"/>
      <c r="U24" s="36"/>
      <c r="V24" s="35"/>
      <c r="W24" s="35"/>
      <c r="X24" s="35"/>
      <c r="Y24" s="35"/>
      <c r="Z24" s="34" t="str">
        <f aca="false">IF(E24="","",IF(U24&lt;&gt;"",U24-E24,README!$B$4-E24))</f>
        <v/>
      </c>
      <c r="AA24" s="34" t="str">
        <f aca="false">IF(OR(T24="",U24=""),"",IF(U24&lt;=T24,"Yes","No"))</f>
        <v/>
      </c>
    </row>
    <row r="25" customFormat="false" ht="15" hidden="false" customHeight="false" outlineLevel="0" collapsed="false">
      <c r="A25" s="34" t="str">
        <f aca="false">IF(B25="","","RCA-"&amp;TEXT(ROW()-1,"000"))</f>
        <v/>
      </c>
      <c r="B25" s="35"/>
      <c r="C25" s="35"/>
      <c r="D25" s="36"/>
      <c r="E25" s="36"/>
      <c r="F25" s="35"/>
      <c r="G25" s="35"/>
      <c r="H25" s="35"/>
      <c r="I25" s="35"/>
      <c r="J25" s="35"/>
      <c r="K25" s="35"/>
      <c r="L25" s="35"/>
      <c r="M25" s="35"/>
      <c r="N25" s="36"/>
      <c r="O25" s="35"/>
      <c r="P25" s="35"/>
      <c r="Q25" s="36"/>
      <c r="R25" s="35"/>
      <c r="S25" s="35"/>
      <c r="T25" s="36"/>
      <c r="U25" s="36"/>
      <c r="V25" s="35"/>
      <c r="W25" s="35"/>
      <c r="X25" s="35"/>
      <c r="Y25" s="35"/>
      <c r="Z25" s="34" t="str">
        <f aca="false">IF(E25="","",IF(U25&lt;&gt;"",U25-E25,README!$B$4-E25))</f>
        <v/>
      </c>
      <c r="AA25" s="34" t="str">
        <f aca="false">IF(OR(T25="",U25=""),"",IF(U25&lt;=T25,"Yes","No"))</f>
        <v/>
      </c>
    </row>
    <row r="26" customFormat="false" ht="15" hidden="false" customHeight="false" outlineLevel="0" collapsed="false">
      <c r="A26" s="34" t="str">
        <f aca="false">IF(B26="","","RCA-"&amp;TEXT(ROW()-1,"000"))</f>
        <v/>
      </c>
      <c r="B26" s="35"/>
      <c r="C26" s="35"/>
      <c r="D26" s="36"/>
      <c r="E26" s="36"/>
      <c r="F26" s="35"/>
      <c r="G26" s="35"/>
      <c r="H26" s="35"/>
      <c r="I26" s="35"/>
      <c r="J26" s="35"/>
      <c r="K26" s="35"/>
      <c r="L26" s="35"/>
      <c r="M26" s="35"/>
      <c r="N26" s="36"/>
      <c r="O26" s="35"/>
      <c r="P26" s="35"/>
      <c r="Q26" s="36"/>
      <c r="R26" s="35"/>
      <c r="S26" s="35"/>
      <c r="T26" s="36"/>
      <c r="U26" s="36"/>
      <c r="V26" s="35"/>
      <c r="W26" s="35"/>
      <c r="X26" s="35"/>
      <c r="Y26" s="35"/>
      <c r="Z26" s="34" t="str">
        <f aca="false">IF(E26="","",IF(U26&lt;&gt;"",U26-E26,README!$B$4-E26))</f>
        <v/>
      </c>
      <c r="AA26" s="34" t="str">
        <f aca="false">IF(OR(T26="",U26=""),"",IF(U26&lt;=T26,"Yes","No"))</f>
        <v/>
      </c>
    </row>
    <row r="27" customFormat="false" ht="15" hidden="false" customHeight="false" outlineLevel="0" collapsed="false">
      <c r="A27" s="34" t="str">
        <f aca="false">IF(B27="","","RCA-"&amp;TEXT(ROW()-1,"000"))</f>
        <v/>
      </c>
      <c r="B27" s="35"/>
      <c r="C27" s="35"/>
      <c r="D27" s="36"/>
      <c r="E27" s="36"/>
      <c r="F27" s="35"/>
      <c r="G27" s="35"/>
      <c r="H27" s="35"/>
      <c r="I27" s="35"/>
      <c r="J27" s="35"/>
      <c r="K27" s="35"/>
      <c r="L27" s="35"/>
      <c r="M27" s="35"/>
      <c r="N27" s="36"/>
      <c r="O27" s="35"/>
      <c r="P27" s="35"/>
      <c r="Q27" s="36"/>
      <c r="R27" s="35"/>
      <c r="S27" s="35"/>
      <c r="T27" s="36"/>
      <c r="U27" s="36"/>
      <c r="V27" s="35"/>
      <c r="W27" s="35"/>
      <c r="X27" s="35"/>
      <c r="Y27" s="35"/>
      <c r="Z27" s="34" t="str">
        <f aca="false">IF(E27="","",IF(U27&lt;&gt;"",U27-E27,README!$B$4-E27))</f>
        <v/>
      </c>
      <c r="AA27" s="34" t="str">
        <f aca="false">IF(OR(T27="",U27=""),"",IF(U27&lt;=T27,"Yes","No"))</f>
        <v/>
      </c>
    </row>
    <row r="28" customFormat="false" ht="15" hidden="false" customHeight="false" outlineLevel="0" collapsed="false">
      <c r="A28" s="34" t="str">
        <f aca="false">IF(B28="","","RCA-"&amp;TEXT(ROW()-1,"000"))</f>
        <v/>
      </c>
      <c r="B28" s="35"/>
      <c r="C28" s="35"/>
      <c r="D28" s="36"/>
      <c r="E28" s="36"/>
      <c r="F28" s="35"/>
      <c r="G28" s="35"/>
      <c r="H28" s="35"/>
      <c r="I28" s="35"/>
      <c r="J28" s="35"/>
      <c r="K28" s="35"/>
      <c r="L28" s="35"/>
      <c r="M28" s="35"/>
      <c r="N28" s="36"/>
      <c r="O28" s="35"/>
      <c r="P28" s="35"/>
      <c r="Q28" s="36"/>
      <c r="R28" s="35"/>
      <c r="S28" s="35"/>
      <c r="T28" s="36"/>
      <c r="U28" s="36"/>
      <c r="V28" s="35"/>
      <c r="W28" s="35"/>
      <c r="X28" s="35"/>
      <c r="Y28" s="35"/>
      <c r="Z28" s="34" t="str">
        <f aca="false">IF(E28="","",IF(U28&lt;&gt;"",U28-E28,README!$B$4-E28))</f>
        <v/>
      </c>
      <c r="AA28" s="34" t="str">
        <f aca="false">IF(OR(T28="",U28=""),"",IF(U28&lt;=T28,"Yes","No"))</f>
        <v/>
      </c>
    </row>
    <row r="29" customFormat="false" ht="15" hidden="false" customHeight="false" outlineLevel="0" collapsed="false">
      <c r="A29" s="34" t="str">
        <f aca="false">IF(B29="","","RCA-"&amp;TEXT(ROW()-1,"000"))</f>
        <v/>
      </c>
      <c r="B29" s="35"/>
      <c r="C29" s="35"/>
      <c r="D29" s="36"/>
      <c r="E29" s="36"/>
      <c r="F29" s="35"/>
      <c r="G29" s="35"/>
      <c r="H29" s="35"/>
      <c r="I29" s="35"/>
      <c r="J29" s="35"/>
      <c r="K29" s="35"/>
      <c r="L29" s="35"/>
      <c r="M29" s="35"/>
      <c r="N29" s="36"/>
      <c r="O29" s="35"/>
      <c r="P29" s="35"/>
      <c r="Q29" s="36"/>
      <c r="R29" s="35"/>
      <c r="S29" s="35"/>
      <c r="T29" s="36"/>
      <c r="U29" s="36"/>
      <c r="V29" s="35"/>
      <c r="W29" s="35"/>
      <c r="X29" s="35"/>
      <c r="Y29" s="35"/>
      <c r="Z29" s="34" t="str">
        <f aca="false">IF(E29="","",IF(U29&lt;&gt;"",U29-E29,README!$B$4-E29))</f>
        <v/>
      </c>
      <c r="AA29" s="34" t="str">
        <f aca="false">IF(OR(T29="",U29=""),"",IF(U29&lt;=T29,"Yes","No"))</f>
        <v/>
      </c>
    </row>
    <row r="30" customFormat="false" ht="15" hidden="false" customHeight="false" outlineLevel="0" collapsed="false">
      <c r="A30" s="34" t="str">
        <f aca="false">IF(B30="","","RCA-"&amp;TEXT(ROW()-1,"000"))</f>
        <v/>
      </c>
      <c r="B30" s="35"/>
      <c r="C30" s="35"/>
      <c r="D30" s="36"/>
      <c r="E30" s="36"/>
      <c r="F30" s="35"/>
      <c r="G30" s="35"/>
      <c r="H30" s="35"/>
      <c r="I30" s="35"/>
      <c r="J30" s="35"/>
      <c r="K30" s="35"/>
      <c r="L30" s="35"/>
      <c r="M30" s="35"/>
      <c r="N30" s="36"/>
      <c r="O30" s="35"/>
      <c r="P30" s="35"/>
      <c r="Q30" s="36"/>
      <c r="R30" s="35"/>
      <c r="S30" s="35"/>
      <c r="T30" s="36"/>
      <c r="U30" s="36"/>
      <c r="V30" s="35"/>
      <c r="W30" s="35"/>
      <c r="X30" s="35"/>
      <c r="Y30" s="35"/>
      <c r="Z30" s="34" t="str">
        <f aca="false">IF(E30="","",IF(U30&lt;&gt;"",U30-E30,README!$B$4-E30))</f>
        <v/>
      </c>
      <c r="AA30" s="34" t="str">
        <f aca="false">IF(OR(T30="",U30=""),"",IF(U30&lt;=T30,"Yes","No"))</f>
        <v/>
      </c>
    </row>
    <row r="31" customFormat="false" ht="15" hidden="false" customHeight="false" outlineLevel="0" collapsed="false">
      <c r="A31" s="34" t="str">
        <f aca="false">IF(B31="","","RCA-"&amp;TEXT(ROW()-1,"000"))</f>
        <v/>
      </c>
      <c r="B31" s="35"/>
      <c r="C31" s="35"/>
      <c r="D31" s="36"/>
      <c r="E31" s="36"/>
      <c r="F31" s="35"/>
      <c r="G31" s="35"/>
      <c r="H31" s="35"/>
      <c r="I31" s="35"/>
      <c r="J31" s="35"/>
      <c r="K31" s="35"/>
      <c r="L31" s="35"/>
      <c r="M31" s="35"/>
      <c r="N31" s="36"/>
      <c r="O31" s="35"/>
      <c r="P31" s="35"/>
      <c r="Q31" s="36"/>
      <c r="R31" s="35"/>
      <c r="S31" s="35"/>
      <c r="T31" s="36"/>
      <c r="U31" s="36"/>
      <c r="V31" s="35"/>
      <c r="W31" s="35"/>
      <c r="X31" s="35"/>
      <c r="Y31" s="35"/>
      <c r="Z31" s="34" t="str">
        <f aca="false">IF(E31="","",IF(U31&lt;&gt;"",U31-E31,README!$B$4-E31))</f>
        <v/>
      </c>
      <c r="AA31" s="34" t="str">
        <f aca="false">IF(OR(T31="",U31=""),"",IF(U31&lt;=T31,"Yes","No"))</f>
        <v/>
      </c>
    </row>
    <row r="32" customFormat="false" ht="15" hidden="false" customHeight="false" outlineLevel="0" collapsed="false">
      <c r="A32" s="34" t="str">
        <f aca="false">IF(B32="","","RCA-"&amp;TEXT(ROW()-1,"000"))</f>
        <v/>
      </c>
      <c r="B32" s="35"/>
      <c r="C32" s="35"/>
      <c r="D32" s="36"/>
      <c r="E32" s="36"/>
      <c r="F32" s="35"/>
      <c r="G32" s="35"/>
      <c r="H32" s="35"/>
      <c r="I32" s="35"/>
      <c r="J32" s="35"/>
      <c r="K32" s="35"/>
      <c r="L32" s="35"/>
      <c r="M32" s="35"/>
      <c r="N32" s="36"/>
      <c r="O32" s="35"/>
      <c r="P32" s="35"/>
      <c r="Q32" s="36"/>
      <c r="R32" s="35"/>
      <c r="S32" s="35"/>
      <c r="T32" s="36"/>
      <c r="U32" s="36"/>
      <c r="V32" s="35"/>
      <c r="W32" s="35"/>
      <c r="X32" s="35"/>
      <c r="Y32" s="35"/>
      <c r="Z32" s="34" t="str">
        <f aca="false">IF(E32="","",IF(U32&lt;&gt;"",U32-E32,README!$B$4-E32))</f>
        <v/>
      </c>
      <c r="AA32" s="34" t="str">
        <f aca="false">IF(OR(T32="",U32=""),"",IF(U32&lt;=T32,"Yes","No"))</f>
        <v/>
      </c>
    </row>
    <row r="33" customFormat="false" ht="15" hidden="false" customHeight="false" outlineLevel="0" collapsed="false">
      <c r="A33" s="34" t="str">
        <f aca="false">IF(B33="","","RCA-"&amp;TEXT(ROW()-1,"000"))</f>
        <v/>
      </c>
      <c r="B33" s="35"/>
      <c r="C33" s="35"/>
      <c r="D33" s="36"/>
      <c r="E33" s="36"/>
      <c r="F33" s="35"/>
      <c r="G33" s="35"/>
      <c r="H33" s="35"/>
      <c r="I33" s="35"/>
      <c r="J33" s="35"/>
      <c r="K33" s="35"/>
      <c r="L33" s="35"/>
      <c r="M33" s="35"/>
      <c r="N33" s="36"/>
      <c r="O33" s="35"/>
      <c r="P33" s="35"/>
      <c r="Q33" s="36"/>
      <c r="R33" s="35"/>
      <c r="S33" s="35"/>
      <c r="T33" s="36"/>
      <c r="U33" s="36"/>
      <c r="V33" s="35"/>
      <c r="W33" s="35"/>
      <c r="X33" s="35"/>
      <c r="Y33" s="35"/>
      <c r="Z33" s="34" t="str">
        <f aca="false">IF(E33="","",IF(U33&lt;&gt;"",U33-E33,README!$B$4-E33))</f>
        <v/>
      </c>
      <c r="AA33" s="34" t="str">
        <f aca="false">IF(OR(T33="",U33=""),"",IF(U33&lt;=T33,"Yes","No"))</f>
        <v/>
      </c>
    </row>
    <row r="34" customFormat="false" ht="15" hidden="false" customHeight="false" outlineLevel="0" collapsed="false">
      <c r="A34" s="34" t="str">
        <f aca="false">IF(B34="","","RCA-"&amp;TEXT(ROW()-1,"000"))</f>
        <v/>
      </c>
      <c r="B34" s="35"/>
      <c r="C34" s="35"/>
      <c r="D34" s="36"/>
      <c r="E34" s="36"/>
      <c r="F34" s="35"/>
      <c r="G34" s="35"/>
      <c r="H34" s="35"/>
      <c r="I34" s="35"/>
      <c r="J34" s="35"/>
      <c r="K34" s="35"/>
      <c r="L34" s="35"/>
      <c r="M34" s="35"/>
      <c r="N34" s="36"/>
      <c r="O34" s="35"/>
      <c r="P34" s="35"/>
      <c r="Q34" s="36"/>
      <c r="R34" s="35"/>
      <c r="S34" s="35"/>
      <c r="T34" s="36"/>
      <c r="U34" s="36"/>
      <c r="V34" s="35"/>
      <c r="W34" s="35"/>
      <c r="X34" s="35"/>
      <c r="Y34" s="35"/>
      <c r="Z34" s="34" t="str">
        <f aca="false">IF(E34="","",IF(U34&lt;&gt;"",U34-E34,README!$B$4-E34))</f>
        <v/>
      </c>
      <c r="AA34" s="34" t="str">
        <f aca="false">IF(OR(T34="",U34=""),"",IF(U34&lt;=T34,"Yes","No"))</f>
        <v/>
      </c>
    </row>
    <row r="35" customFormat="false" ht="15" hidden="false" customHeight="false" outlineLevel="0" collapsed="false">
      <c r="A35" s="34" t="str">
        <f aca="false">IF(B35="","","RCA-"&amp;TEXT(ROW()-1,"000"))</f>
        <v/>
      </c>
      <c r="B35" s="35"/>
      <c r="C35" s="35"/>
      <c r="D35" s="36"/>
      <c r="E35" s="36"/>
      <c r="F35" s="35"/>
      <c r="G35" s="35"/>
      <c r="H35" s="35"/>
      <c r="I35" s="35"/>
      <c r="J35" s="35"/>
      <c r="K35" s="35"/>
      <c r="L35" s="35"/>
      <c r="M35" s="35"/>
      <c r="N35" s="36"/>
      <c r="O35" s="35"/>
      <c r="P35" s="35"/>
      <c r="Q35" s="36"/>
      <c r="R35" s="35"/>
      <c r="S35" s="35"/>
      <c r="T35" s="36"/>
      <c r="U35" s="36"/>
      <c r="V35" s="35"/>
      <c r="W35" s="35"/>
      <c r="X35" s="35"/>
      <c r="Y35" s="35"/>
      <c r="Z35" s="34" t="str">
        <f aca="false">IF(E35="","",IF(U35&lt;&gt;"",U35-E35,README!$B$4-E35))</f>
        <v/>
      </c>
      <c r="AA35" s="34" t="str">
        <f aca="false">IF(OR(T35="",U35=""),"",IF(U35&lt;=T35,"Yes","No"))</f>
        <v/>
      </c>
    </row>
    <row r="36" customFormat="false" ht="15" hidden="false" customHeight="false" outlineLevel="0" collapsed="false">
      <c r="A36" s="34" t="str">
        <f aca="false">IF(B36="","","RCA-"&amp;TEXT(ROW()-1,"000"))</f>
        <v/>
      </c>
      <c r="B36" s="35"/>
      <c r="C36" s="35"/>
      <c r="D36" s="36"/>
      <c r="E36" s="36"/>
      <c r="F36" s="35"/>
      <c r="G36" s="35"/>
      <c r="H36" s="35"/>
      <c r="I36" s="35"/>
      <c r="J36" s="35"/>
      <c r="K36" s="35"/>
      <c r="L36" s="35"/>
      <c r="M36" s="35"/>
      <c r="N36" s="36"/>
      <c r="O36" s="35"/>
      <c r="P36" s="35"/>
      <c r="Q36" s="36"/>
      <c r="R36" s="35"/>
      <c r="S36" s="35"/>
      <c r="T36" s="36"/>
      <c r="U36" s="36"/>
      <c r="V36" s="35"/>
      <c r="W36" s="35"/>
      <c r="X36" s="35"/>
      <c r="Y36" s="35"/>
      <c r="Z36" s="34" t="str">
        <f aca="false">IF(E36="","",IF(U36&lt;&gt;"",U36-E36,README!$B$4-E36))</f>
        <v/>
      </c>
      <c r="AA36" s="34" t="str">
        <f aca="false">IF(OR(T36="",U36=""),"",IF(U36&lt;=T36,"Yes","No"))</f>
        <v/>
      </c>
    </row>
    <row r="37" customFormat="false" ht="15" hidden="false" customHeight="false" outlineLevel="0" collapsed="false">
      <c r="A37" s="34" t="str">
        <f aca="false">IF(B37="","","RCA-"&amp;TEXT(ROW()-1,"000"))</f>
        <v/>
      </c>
      <c r="B37" s="35"/>
      <c r="C37" s="35"/>
      <c r="D37" s="36"/>
      <c r="E37" s="36"/>
      <c r="F37" s="35"/>
      <c r="G37" s="35"/>
      <c r="H37" s="35"/>
      <c r="I37" s="35"/>
      <c r="J37" s="35"/>
      <c r="K37" s="35"/>
      <c r="L37" s="35"/>
      <c r="M37" s="35"/>
      <c r="N37" s="36"/>
      <c r="O37" s="35"/>
      <c r="P37" s="35"/>
      <c r="Q37" s="36"/>
      <c r="R37" s="35"/>
      <c r="S37" s="35"/>
      <c r="T37" s="36"/>
      <c r="U37" s="36"/>
      <c r="V37" s="35"/>
      <c r="W37" s="35"/>
      <c r="X37" s="35"/>
      <c r="Y37" s="35"/>
      <c r="Z37" s="34" t="str">
        <f aca="false">IF(E37="","",IF(U37&lt;&gt;"",U37-E37,README!$B$4-E37))</f>
        <v/>
      </c>
      <c r="AA37" s="34" t="str">
        <f aca="false">IF(OR(T37="",U37=""),"",IF(U37&lt;=T37,"Yes","No"))</f>
        <v/>
      </c>
    </row>
    <row r="38" customFormat="false" ht="15" hidden="false" customHeight="false" outlineLevel="0" collapsed="false">
      <c r="A38" s="34" t="str">
        <f aca="false">IF(B38="","","RCA-"&amp;TEXT(ROW()-1,"000"))</f>
        <v/>
      </c>
      <c r="B38" s="35"/>
      <c r="C38" s="35"/>
      <c r="D38" s="36"/>
      <c r="E38" s="36"/>
      <c r="F38" s="35"/>
      <c r="G38" s="35"/>
      <c r="H38" s="35"/>
      <c r="I38" s="35"/>
      <c r="J38" s="35"/>
      <c r="K38" s="35"/>
      <c r="L38" s="35"/>
      <c r="M38" s="35"/>
      <c r="N38" s="36"/>
      <c r="O38" s="35"/>
      <c r="P38" s="35"/>
      <c r="Q38" s="36"/>
      <c r="R38" s="35"/>
      <c r="S38" s="35"/>
      <c r="T38" s="36"/>
      <c r="U38" s="36"/>
      <c r="V38" s="35"/>
      <c r="W38" s="35"/>
      <c r="X38" s="35"/>
      <c r="Y38" s="35"/>
      <c r="Z38" s="34" t="str">
        <f aca="false">IF(E38="","",IF(U38&lt;&gt;"",U38-E38,README!$B$4-E38))</f>
        <v/>
      </c>
      <c r="AA38" s="34" t="str">
        <f aca="false">IF(OR(T38="",U38=""),"",IF(U38&lt;=T38,"Yes","No"))</f>
        <v/>
      </c>
    </row>
    <row r="39" customFormat="false" ht="15" hidden="false" customHeight="false" outlineLevel="0" collapsed="false">
      <c r="A39" s="34" t="str">
        <f aca="false">IF(B39="","","RCA-"&amp;TEXT(ROW()-1,"000"))</f>
        <v/>
      </c>
      <c r="B39" s="35"/>
      <c r="C39" s="35"/>
      <c r="D39" s="36"/>
      <c r="E39" s="36"/>
      <c r="F39" s="35"/>
      <c r="G39" s="35"/>
      <c r="H39" s="35"/>
      <c r="I39" s="35"/>
      <c r="J39" s="35"/>
      <c r="K39" s="35"/>
      <c r="L39" s="35"/>
      <c r="M39" s="35"/>
      <c r="N39" s="36"/>
      <c r="O39" s="35"/>
      <c r="P39" s="35"/>
      <c r="Q39" s="36"/>
      <c r="R39" s="35"/>
      <c r="S39" s="35"/>
      <c r="T39" s="36"/>
      <c r="U39" s="36"/>
      <c r="V39" s="35"/>
      <c r="W39" s="35"/>
      <c r="X39" s="35"/>
      <c r="Y39" s="35"/>
      <c r="Z39" s="34" t="str">
        <f aca="false">IF(E39="","",IF(U39&lt;&gt;"",U39-E39,README!$B$4-E39))</f>
        <v/>
      </c>
      <c r="AA39" s="34" t="str">
        <f aca="false">IF(OR(T39="",U39=""),"",IF(U39&lt;=T39,"Yes","No"))</f>
        <v/>
      </c>
    </row>
    <row r="40" customFormat="false" ht="15" hidden="false" customHeight="false" outlineLevel="0" collapsed="false">
      <c r="A40" s="34" t="str">
        <f aca="false">IF(B40="","","RCA-"&amp;TEXT(ROW()-1,"000"))</f>
        <v/>
      </c>
      <c r="B40" s="35"/>
      <c r="C40" s="35"/>
      <c r="D40" s="36"/>
      <c r="E40" s="36"/>
      <c r="F40" s="35"/>
      <c r="G40" s="35"/>
      <c r="H40" s="35"/>
      <c r="I40" s="35"/>
      <c r="J40" s="35"/>
      <c r="K40" s="35"/>
      <c r="L40" s="35"/>
      <c r="M40" s="35"/>
      <c r="N40" s="36"/>
      <c r="O40" s="35"/>
      <c r="P40" s="35"/>
      <c r="Q40" s="36"/>
      <c r="R40" s="35"/>
      <c r="S40" s="35"/>
      <c r="T40" s="36"/>
      <c r="U40" s="36"/>
      <c r="V40" s="35"/>
      <c r="W40" s="35"/>
      <c r="X40" s="35"/>
      <c r="Y40" s="35"/>
      <c r="Z40" s="34" t="str">
        <f aca="false">IF(E40="","",IF(U40&lt;&gt;"",U40-E40,README!$B$4-E40))</f>
        <v/>
      </c>
      <c r="AA40" s="34" t="str">
        <f aca="false">IF(OR(T40="",U40=""),"",IF(U40&lt;=T40,"Yes","No"))</f>
        <v/>
      </c>
    </row>
    <row r="41" customFormat="false" ht="15" hidden="false" customHeight="false" outlineLevel="0" collapsed="false">
      <c r="A41" s="34" t="str">
        <f aca="false">IF(B41="","","RCA-"&amp;TEXT(ROW()-1,"000"))</f>
        <v/>
      </c>
      <c r="B41" s="35"/>
      <c r="C41" s="35"/>
      <c r="D41" s="36"/>
      <c r="E41" s="36"/>
      <c r="F41" s="35"/>
      <c r="G41" s="35"/>
      <c r="H41" s="35"/>
      <c r="I41" s="35"/>
      <c r="J41" s="35"/>
      <c r="K41" s="35"/>
      <c r="L41" s="35"/>
      <c r="M41" s="35"/>
      <c r="N41" s="36"/>
      <c r="O41" s="35"/>
      <c r="P41" s="35"/>
      <c r="Q41" s="36"/>
      <c r="R41" s="35"/>
      <c r="S41" s="35"/>
      <c r="T41" s="36"/>
      <c r="U41" s="36"/>
      <c r="V41" s="35"/>
      <c r="W41" s="35"/>
      <c r="X41" s="35"/>
      <c r="Y41" s="35"/>
      <c r="Z41" s="34" t="str">
        <f aca="false">IF(E41="","",IF(U41&lt;&gt;"",U41-E41,README!$B$4-E41))</f>
        <v/>
      </c>
      <c r="AA41" s="34" t="str">
        <f aca="false">IF(OR(T41="",U41=""),"",IF(U41&lt;=T41,"Yes","No"))</f>
        <v/>
      </c>
    </row>
    <row r="42" customFormat="false" ht="15" hidden="false" customHeight="false" outlineLevel="0" collapsed="false">
      <c r="A42" s="34" t="str">
        <f aca="false">IF(B42="","","RCA-"&amp;TEXT(ROW()-1,"000"))</f>
        <v/>
      </c>
      <c r="B42" s="35"/>
      <c r="C42" s="35"/>
      <c r="D42" s="36"/>
      <c r="E42" s="36"/>
      <c r="F42" s="35"/>
      <c r="G42" s="35"/>
      <c r="H42" s="35"/>
      <c r="I42" s="35"/>
      <c r="J42" s="35"/>
      <c r="K42" s="35"/>
      <c r="L42" s="35"/>
      <c r="M42" s="35"/>
      <c r="N42" s="36"/>
      <c r="O42" s="35"/>
      <c r="P42" s="35"/>
      <c r="Q42" s="36"/>
      <c r="R42" s="35"/>
      <c r="S42" s="35"/>
      <c r="T42" s="36"/>
      <c r="U42" s="36"/>
      <c r="V42" s="35"/>
      <c r="W42" s="35"/>
      <c r="X42" s="35"/>
      <c r="Y42" s="35"/>
      <c r="Z42" s="34" t="str">
        <f aca="false">IF(E42="","",IF(U42&lt;&gt;"",U42-E42,README!$B$4-E42))</f>
        <v/>
      </c>
      <c r="AA42" s="34" t="str">
        <f aca="false">IF(OR(T42="",U42=""),"",IF(U42&lt;=T42,"Yes","No"))</f>
        <v/>
      </c>
    </row>
    <row r="43" customFormat="false" ht="15" hidden="false" customHeight="false" outlineLevel="0" collapsed="false">
      <c r="A43" s="34" t="str">
        <f aca="false">IF(B43="","","RCA-"&amp;TEXT(ROW()-1,"000"))</f>
        <v/>
      </c>
      <c r="B43" s="35"/>
      <c r="C43" s="35"/>
      <c r="D43" s="36"/>
      <c r="E43" s="36"/>
      <c r="F43" s="35"/>
      <c r="G43" s="35"/>
      <c r="H43" s="35"/>
      <c r="I43" s="35"/>
      <c r="J43" s="35"/>
      <c r="K43" s="35"/>
      <c r="L43" s="35"/>
      <c r="M43" s="35"/>
      <c r="N43" s="36"/>
      <c r="O43" s="35"/>
      <c r="P43" s="35"/>
      <c r="Q43" s="36"/>
      <c r="R43" s="35"/>
      <c r="S43" s="35"/>
      <c r="T43" s="36"/>
      <c r="U43" s="36"/>
      <c r="V43" s="35"/>
      <c r="W43" s="35"/>
      <c r="X43" s="35"/>
      <c r="Y43" s="35"/>
      <c r="Z43" s="34" t="str">
        <f aca="false">IF(E43="","",IF(U43&lt;&gt;"",U43-E43,README!$B$4-E43))</f>
        <v/>
      </c>
      <c r="AA43" s="34" t="str">
        <f aca="false">IF(OR(T43="",U43=""),"",IF(U43&lt;=T43,"Yes","No"))</f>
        <v/>
      </c>
    </row>
    <row r="44" customFormat="false" ht="15" hidden="false" customHeight="false" outlineLevel="0" collapsed="false">
      <c r="A44" s="34" t="str">
        <f aca="false">IF(B44="","","RCA-"&amp;TEXT(ROW()-1,"000"))</f>
        <v/>
      </c>
      <c r="B44" s="35"/>
      <c r="C44" s="35"/>
      <c r="D44" s="36"/>
      <c r="E44" s="36"/>
      <c r="F44" s="35"/>
      <c r="G44" s="35"/>
      <c r="H44" s="35"/>
      <c r="I44" s="35"/>
      <c r="J44" s="35"/>
      <c r="K44" s="35"/>
      <c r="L44" s="35"/>
      <c r="M44" s="35"/>
      <c r="N44" s="36"/>
      <c r="O44" s="35"/>
      <c r="P44" s="35"/>
      <c r="Q44" s="36"/>
      <c r="R44" s="35"/>
      <c r="S44" s="35"/>
      <c r="T44" s="36"/>
      <c r="U44" s="36"/>
      <c r="V44" s="35"/>
      <c r="W44" s="35"/>
      <c r="X44" s="35"/>
      <c r="Y44" s="35"/>
      <c r="Z44" s="34" t="str">
        <f aca="false">IF(E44="","",IF(U44&lt;&gt;"",U44-E44,README!$B$4-E44))</f>
        <v/>
      </c>
      <c r="AA44" s="34" t="str">
        <f aca="false">IF(OR(T44="",U44=""),"",IF(U44&lt;=T44,"Yes","No"))</f>
        <v/>
      </c>
    </row>
    <row r="45" customFormat="false" ht="15" hidden="false" customHeight="false" outlineLevel="0" collapsed="false">
      <c r="A45" s="34" t="str">
        <f aca="false">IF(B45="","","RCA-"&amp;TEXT(ROW()-1,"000"))</f>
        <v/>
      </c>
      <c r="B45" s="35"/>
      <c r="C45" s="35"/>
      <c r="D45" s="36"/>
      <c r="E45" s="36"/>
      <c r="F45" s="35"/>
      <c r="G45" s="35"/>
      <c r="H45" s="35"/>
      <c r="I45" s="35"/>
      <c r="J45" s="35"/>
      <c r="K45" s="35"/>
      <c r="L45" s="35"/>
      <c r="M45" s="35"/>
      <c r="N45" s="36"/>
      <c r="O45" s="35"/>
      <c r="P45" s="35"/>
      <c r="Q45" s="36"/>
      <c r="R45" s="35"/>
      <c r="S45" s="35"/>
      <c r="T45" s="36"/>
      <c r="U45" s="36"/>
      <c r="V45" s="35"/>
      <c r="W45" s="35"/>
      <c r="X45" s="35"/>
      <c r="Y45" s="35"/>
      <c r="Z45" s="34" t="str">
        <f aca="false">IF(E45="","",IF(U45&lt;&gt;"",U45-E45,README!$B$4-E45))</f>
        <v/>
      </c>
      <c r="AA45" s="34" t="str">
        <f aca="false">IF(OR(T45="",U45=""),"",IF(U45&lt;=T45,"Yes","No"))</f>
        <v/>
      </c>
    </row>
    <row r="46" customFormat="false" ht="15" hidden="false" customHeight="false" outlineLevel="0" collapsed="false">
      <c r="A46" s="34" t="str">
        <f aca="false">IF(B46="","","RCA-"&amp;TEXT(ROW()-1,"000"))</f>
        <v/>
      </c>
      <c r="B46" s="35"/>
      <c r="C46" s="35"/>
      <c r="D46" s="36"/>
      <c r="E46" s="36"/>
      <c r="F46" s="35"/>
      <c r="G46" s="35"/>
      <c r="H46" s="35"/>
      <c r="I46" s="35"/>
      <c r="J46" s="35"/>
      <c r="K46" s="35"/>
      <c r="L46" s="35"/>
      <c r="M46" s="35"/>
      <c r="N46" s="36"/>
      <c r="O46" s="35"/>
      <c r="P46" s="35"/>
      <c r="Q46" s="36"/>
      <c r="R46" s="35"/>
      <c r="S46" s="35"/>
      <c r="T46" s="36"/>
      <c r="U46" s="36"/>
      <c r="V46" s="35"/>
      <c r="W46" s="35"/>
      <c r="X46" s="35"/>
      <c r="Y46" s="35"/>
      <c r="Z46" s="34" t="str">
        <f aca="false">IF(E46="","",IF(U46&lt;&gt;"",U46-E46,README!$B$4-E46))</f>
        <v/>
      </c>
      <c r="AA46" s="34" t="str">
        <f aca="false">IF(OR(T46="",U46=""),"",IF(U46&lt;=T46,"Yes","No"))</f>
        <v/>
      </c>
    </row>
    <row r="47" customFormat="false" ht="15" hidden="false" customHeight="false" outlineLevel="0" collapsed="false">
      <c r="A47" s="34" t="str">
        <f aca="false">IF(B47="","","RCA-"&amp;TEXT(ROW()-1,"000"))</f>
        <v/>
      </c>
      <c r="B47" s="35"/>
      <c r="C47" s="35"/>
      <c r="D47" s="36"/>
      <c r="E47" s="36"/>
      <c r="F47" s="35"/>
      <c r="G47" s="35"/>
      <c r="H47" s="35"/>
      <c r="I47" s="35"/>
      <c r="J47" s="35"/>
      <c r="K47" s="35"/>
      <c r="L47" s="35"/>
      <c r="M47" s="35"/>
      <c r="N47" s="36"/>
      <c r="O47" s="35"/>
      <c r="P47" s="35"/>
      <c r="Q47" s="36"/>
      <c r="R47" s="35"/>
      <c r="S47" s="35"/>
      <c r="T47" s="36"/>
      <c r="U47" s="36"/>
      <c r="V47" s="35"/>
      <c r="W47" s="35"/>
      <c r="X47" s="35"/>
      <c r="Y47" s="35"/>
      <c r="Z47" s="34" t="str">
        <f aca="false">IF(E47="","",IF(U47&lt;&gt;"",U47-E47,README!$B$4-E47))</f>
        <v/>
      </c>
      <c r="AA47" s="34" t="str">
        <f aca="false">IF(OR(T47="",U47=""),"",IF(U47&lt;=T47,"Yes","No"))</f>
        <v/>
      </c>
    </row>
    <row r="48" customFormat="false" ht="15" hidden="false" customHeight="false" outlineLevel="0" collapsed="false">
      <c r="A48" s="34" t="str">
        <f aca="false">IF(B48="","","RCA-"&amp;TEXT(ROW()-1,"000"))</f>
        <v/>
      </c>
      <c r="B48" s="35"/>
      <c r="C48" s="35"/>
      <c r="D48" s="36"/>
      <c r="E48" s="36"/>
      <c r="F48" s="35"/>
      <c r="G48" s="35"/>
      <c r="H48" s="35"/>
      <c r="I48" s="35"/>
      <c r="J48" s="35"/>
      <c r="K48" s="35"/>
      <c r="L48" s="35"/>
      <c r="M48" s="35"/>
      <c r="N48" s="36"/>
      <c r="O48" s="35"/>
      <c r="P48" s="35"/>
      <c r="Q48" s="36"/>
      <c r="R48" s="35"/>
      <c r="S48" s="35"/>
      <c r="T48" s="36"/>
      <c r="U48" s="36"/>
      <c r="V48" s="35"/>
      <c r="W48" s="35"/>
      <c r="X48" s="35"/>
      <c r="Y48" s="35"/>
      <c r="Z48" s="34" t="str">
        <f aca="false">IF(E48="","",IF(U48&lt;&gt;"",U48-E48,README!$B$4-E48))</f>
        <v/>
      </c>
      <c r="AA48" s="34" t="str">
        <f aca="false">IF(OR(T48="",U48=""),"",IF(U48&lt;=T48,"Yes","No"))</f>
        <v/>
      </c>
    </row>
    <row r="49" customFormat="false" ht="15" hidden="false" customHeight="false" outlineLevel="0" collapsed="false">
      <c r="A49" s="34" t="str">
        <f aca="false">IF(B49="","","RCA-"&amp;TEXT(ROW()-1,"000"))</f>
        <v/>
      </c>
      <c r="B49" s="35"/>
      <c r="C49" s="35"/>
      <c r="D49" s="36"/>
      <c r="E49" s="36"/>
      <c r="F49" s="35"/>
      <c r="G49" s="35"/>
      <c r="H49" s="35"/>
      <c r="I49" s="35"/>
      <c r="J49" s="35"/>
      <c r="K49" s="35"/>
      <c r="L49" s="35"/>
      <c r="M49" s="35"/>
      <c r="N49" s="36"/>
      <c r="O49" s="35"/>
      <c r="P49" s="35"/>
      <c r="Q49" s="36"/>
      <c r="R49" s="35"/>
      <c r="S49" s="35"/>
      <c r="T49" s="36"/>
      <c r="U49" s="36"/>
      <c r="V49" s="35"/>
      <c r="W49" s="35"/>
      <c r="X49" s="35"/>
      <c r="Y49" s="35"/>
      <c r="Z49" s="34" t="str">
        <f aca="false">IF(E49="","",IF(U49&lt;&gt;"",U49-E49,README!$B$4-E49))</f>
        <v/>
      </c>
      <c r="AA49" s="34" t="str">
        <f aca="false">IF(OR(T49="",U49=""),"",IF(U49&lt;=T49,"Yes","No"))</f>
        <v/>
      </c>
    </row>
    <row r="50" customFormat="false" ht="15" hidden="false" customHeight="false" outlineLevel="0" collapsed="false">
      <c r="A50" s="34" t="str">
        <f aca="false">IF(B50="","","RCA-"&amp;TEXT(ROW()-1,"000"))</f>
        <v/>
      </c>
      <c r="B50" s="35"/>
      <c r="C50" s="35"/>
      <c r="D50" s="36"/>
      <c r="E50" s="36"/>
      <c r="F50" s="35"/>
      <c r="G50" s="35"/>
      <c r="H50" s="35"/>
      <c r="I50" s="35"/>
      <c r="J50" s="35"/>
      <c r="K50" s="35"/>
      <c r="L50" s="35"/>
      <c r="M50" s="35"/>
      <c r="N50" s="36"/>
      <c r="O50" s="35"/>
      <c r="P50" s="35"/>
      <c r="Q50" s="36"/>
      <c r="R50" s="35"/>
      <c r="S50" s="35"/>
      <c r="T50" s="36"/>
      <c r="U50" s="36"/>
      <c r="V50" s="35"/>
      <c r="W50" s="35"/>
      <c r="X50" s="35"/>
      <c r="Y50" s="35"/>
      <c r="Z50" s="34" t="str">
        <f aca="false">IF(E50="","",IF(U50&lt;&gt;"",U50-E50,README!$B$4-E50))</f>
        <v/>
      </c>
      <c r="AA50" s="34" t="str">
        <f aca="false">IF(OR(T50="",U50=""),"",IF(U50&lt;=T50,"Yes","No"))</f>
        <v/>
      </c>
    </row>
    <row r="51" customFormat="false" ht="15" hidden="false" customHeight="false" outlineLevel="0" collapsed="false">
      <c r="A51" s="34" t="str">
        <f aca="false">IF(B51="","","RCA-"&amp;TEXT(ROW()-1,"000"))</f>
        <v/>
      </c>
      <c r="B51" s="35"/>
      <c r="C51" s="35"/>
      <c r="D51" s="36"/>
      <c r="E51" s="36"/>
      <c r="F51" s="35"/>
      <c r="G51" s="35"/>
      <c r="H51" s="35"/>
      <c r="I51" s="35"/>
      <c r="J51" s="35"/>
      <c r="K51" s="35"/>
      <c r="L51" s="35"/>
      <c r="M51" s="35"/>
      <c r="N51" s="36"/>
      <c r="O51" s="35"/>
      <c r="P51" s="35"/>
      <c r="Q51" s="36"/>
      <c r="R51" s="35"/>
      <c r="S51" s="35"/>
      <c r="T51" s="36"/>
      <c r="U51" s="36"/>
      <c r="V51" s="35"/>
      <c r="W51" s="35"/>
      <c r="X51" s="35"/>
      <c r="Y51" s="35"/>
      <c r="Z51" s="34" t="str">
        <f aca="false">IF(E51="","",IF(U51&lt;&gt;"",U51-E51,README!$B$4-E51))</f>
        <v/>
      </c>
      <c r="AA51" s="34" t="str">
        <f aca="false">IF(OR(T51="",U51=""),"",IF(U51&lt;=T51,"Yes","No"))</f>
        <v/>
      </c>
    </row>
    <row r="52" customFormat="false" ht="15" hidden="false" customHeight="false" outlineLevel="0" collapsed="false">
      <c r="A52" s="34" t="str">
        <f aca="false">IF(B52="","","RCA-"&amp;TEXT(ROW()-1,"000"))</f>
        <v/>
      </c>
      <c r="B52" s="35"/>
      <c r="C52" s="35"/>
      <c r="D52" s="36"/>
      <c r="E52" s="36"/>
      <c r="F52" s="35"/>
      <c r="G52" s="35"/>
      <c r="H52" s="35"/>
      <c r="I52" s="35"/>
      <c r="J52" s="35"/>
      <c r="K52" s="35"/>
      <c r="L52" s="35"/>
      <c r="M52" s="35"/>
      <c r="N52" s="36"/>
      <c r="O52" s="35"/>
      <c r="P52" s="35"/>
      <c r="Q52" s="36"/>
      <c r="R52" s="35"/>
      <c r="S52" s="35"/>
      <c r="T52" s="36"/>
      <c r="U52" s="36"/>
      <c r="V52" s="35"/>
      <c r="W52" s="35"/>
      <c r="X52" s="35"/>
      <c r="Y52" s="35"/>
      <c r="Z52" s="34" t="str">
        <f aca="false">IF(E52="","",IF(U52&lt;&gt;"",U52-E52,README!$B$4-E52))</f>
        <v/>
      </c>
      <c r="AA52" s="34" t="str">
        <f aca="false">IF(OR(T52="",U52=""),"",IF(U52&lt;=T52,"Yes","No"))</f>
        <v/>
      </c>
    </row>
    <row r="53" customFormat="false" ht="15" hidden="false" customHeight="false" outlineLevel="0" collapsed="false">
      <c r="A53" s="34" t="str">
        <f aca="false">IF(B53="","","RCA-"&amp;TEXT(ROW()-1,"000"))</f>
        <v/>
      </c>
      <c r="B53" s="35"/>
      <c r="C53" s="35"/>
      <c r="D53" s="36"/>
      <c r="E53" s="36"/>
      <c r="F53" s="35"/>
      <c r="G53" s="35"/>
      <c r="H53" s="35"/>
      <c r="I53" s="35"/>
      <c r="J53" s="35"/>
      <c r="K53" s="35"/>
      <c r="L53" s="35"/>
      <c r="M53" s="35"/>
      <c r="N53" s="36"/>
      <c r="O53" s="35"/>
      <c r="P53" s="35"/>
      <c r="Q53" s="36"/>
      <c r="R53" s="35"/>
      <c r="S53" s="35"/>
      <c r="T53" s="36"/>
      <c r="U53" s="36"/>
      <c r="V53" s="35"/>
      <c r="W53" s="35"/>
      <c r="X53" s="35"/>
      <c r="Y53" s="35"/>
      <c r="Z53" s="34" t="str">
        <f aca="false">IF(E53="","",IF(U53&lt;&gt;"",U53-E53,README!$B$4-E53))</f>
        <v/>
      </c>
      <c r="AA53" s="34" t="str">
        <f aca="false">IF(OR(T53="",U53=""),"",IF(U53&lt;=T53,"Yes","No"))</f>
        <v/>
      </c>
    </row>
    <row r="54" customFormat="false" ht="15" hidden="false" customHeight="false" outlineLevel="0" collapsed="false">
      <c r="A54" s="34" t="str">
        <f aca="false">IF(B54="","","RCA-"&amp;TEXT(ROW()-1,"000"))</f>
        <v/>
      </c>
      <c r="B54" s="35"/>
      <c r="C54" s="35"/>
      <c r="D54" s="36"/>
      <c r="E54" s="36"/>
      <c r="F54" s="35"/>
      <c r="G54" s="35"/>
      <c r="H54" s="35"/>
      <c r="I54" s="35"/>
      <c r="J54" s="35"/>
      <c r="K54" s="35"/>
      <c r="L54" s="35"/>
      <c r="M54" s="35"/>
      <c r="N54" s="36"/>
      <c r="O54" s="35"/>
      <c r="P54" s="35"/>
      <c r="Q54" s="36"/>
      <c r="R54" s="35"/>
      <c r="S54" s="35"/>
      <c r="T54" s="36"/>
      <c r="U54" s="36"/>
      <c r="V54" s="35"/>
      <c r="W54" s="35"/>
      <c r="X54" s="35"/>
      <c r="Y54" s="35"/>
      <c r="Z54" s="34" t="str">
        <f aca="false">IF(E54="","",IF(U54&lt;&gt;"",U54-E54,README!$B$4-E54))</f>
        <v/>
      </c>
      <c r="AA54" s="34" t="str">
        <f aca="false">IF(OR(T54="",U54=""),"",IF(U54&lt;=T54,"Yes","No"))</f>
        <v/>
      </c>
    </row>
    <row r="55" customFormat="false" ht="15" hidden="false" customHeight="false" outlineLevel="0" collapsed="false">
      <c r="A55" s="34" t="str">
        <f aca="false">IF(B55="","","RCA-"&amp;TEXT(ROW()-1,"000"))</f>
        <v/>
      </c>
      <c r="B55" s="35"/>
      <c r="C55" s="35"/>
      <c r="D55" s="36"/>
      <c r="E55" s="36"/>
      <c r="F55" s="35"/>
      <c r="G55" s="35"/>
      <c r="H55" s="35"/>
      <c r="I55" s="35"/>
      <c r="J55" s="35"/>
      <c r="K55" s="35"/>
      <c r="L55" s="35"/>
      <c r="M55" s="35"/>
      <c r="N55" s="36"/>
      <c r="O55" s="35"/>
      <c r="P55" s="35"/>
      <c r="Q55" s="36"/>
      <c r="R55" s="35"/>
      <c r="S55" s="35"/>
      <c r="T55" s="36"/>
      <c r="U55" s="36"/>
      <c r="V55" s="35"/>
      <c r="W55" s="35"/>
      <c r="X55" s="35"/>
      <c r="Y55" s="35"/>
      <c r="Z55" s="34" t="str">
        <f aca="false">IF(E55="","",IF(U55&lt;&gt;"",U55-E55,README!$B$4-E55))</f>
        <v/>
      </c>
      <c r="AA55" s="34" t="str">
        <f aca="false">IF(OR(T55="",U55=""),"",IF(U55&lt;=T55,"Yes","No"))</f>
        <v/>
      </c>
    </row>
    <row r="56" customFormat="false" ht="15" hidden="false" customHeight="false" outlineLevel="0" collapsed="false">
      <c r="A56" s="34" t="str">
        <f aca="false">IF(B56="","","RCA-"&amp;TEXT(ROW()-1,"000"))</f>
        <v/>
      </c>
      <c r="B56" s="35"/>
      <c r="C56" s="35"/>
      <c r="D56" s="36"/>
      <c r="E56" s="36"/>
      <c r="F56" s="35"/>
      <c r="G56" s="35"/>
      <c r="H56" s="35"/>
      <c r="I56" s="35"/>
      <c r="J56" s="35"/>
      <c r="K56" s="35"/>
      <c r="L56" s="35"/>
      <c r="M56" s="35"/>
      <c r="N56" s="36"/>
      <c r="O56" s="35"/>
      <c r="P56" s="35"/>
      <c r="Q56" s="36"/>
      <c r="R56" s="35"/>
      <c r="S56" s="35"/>
      <c r="T56" s="36"/>
      <c r="U56" s="36"/>
      <c r="V56" s="35"/>
      <c r="W56" s="35"/>
      <c r="X56" s="35"/>
      <c r="Y56" s="35"/>
      <c r="Z56" s="34" t="str">
        <f aca="false">IF(E56="","",IF(U56&lt;&gt;"",U56-E56,README!$B$4-E56))</f>
        <v/>
      </c>
      <c r="AA56" s="34" t="str">
        <f aca="false">IF(OR(T56="",U56=""),"",IF(U56&lt;=T56,"Yes","No"))</f>
        <v/>
      </c>
    </row>
    <row r="57" customFormat="false" ht="15" hidden="false" customHeight="false" outlineLevel="0" collapsed="false">
      <c r="A57" s="34" t="str">
        <f aca="false">IF(B57="","","RCA-"&amp;TEXT(ROW()-1,"000"))</f>
        <v/>
      </c>
      <c r="B57" s="35"/>
      <c r="C57" s="35"/>
      <c r="D57" s="36"/>
      <c r="E57" s="36"/>
      <c r="F57" s="35"/>
      <c r="G57" s="35"/>
      <c r="H57" s="35"/>
      <c r="I57" s="35"/>
      <c r="J57" s="35"/>
      <c r="K57" s="35"/>
      <c r="L57" s="35"/>
      <c r="M57" s="35"/>
      <c r="N57" s="36"/>
      <c r="O57" s="35"/>
      <c r="P57" s="35"/>
      <c r="Q57" s="36"/>
      <c r="R57" s="35"/>
      <c r="S57" s="35"/>
      <c r="T57" s="36"/>
      <c r="U57" s="36"/>
      <c r="V57" s="35"/>
      <c r="W57" s="35"/>
      <c r="X57" s="35"/>
      <c r="Y57" s="35"/>
      <c r="Z57" s="34" t="str">
        <f aca="false">IF(E57="","",IF(U57&lt;&gt;"",U57-E57,README!$B$4-E57))</f>
        <v/>
      </c>
      <c r="AA57" s="34" t="str">
        <f aca="false">IF(OR(T57="",U57=""),"",IF(U57&lt;=T57,"Yes","No"))</f>
        <v/>
      </c>
    </row>
    <row r="58" customFormat="false" ht="15" hidden="false" customHeight="false" outlineLevel="0" collapsed="false">
      <c r="A58" s="34" t="str">
        <f aca="false">IF(B58="","","RCA-"&amp;TEXT(ROW()-1,"000"))</f>
        <v/>
      </c>
      <c r="B58" s="35"/>
      <c r="C58" s="35"/>
      <c r="D58" s="36"/>
      <c r="E58" s="36"/>
      <c r="F58" s="35"/>
      <c r="G58" s="35"/>
      <c r="H58" s="35"/>
      <c r="I58" s="35"/>
      <c r="J58" s="35"/>
      <c r="K58" s="35"/>
      <c r="L58" s="35"/>
      <c r="M58" s="35"/>
      <c r="N58" s="36"/>
      <c r="O58" s="35"/>
      <c r="P58" s="35"/>
      <c r="Q58" s="36"/>
      <c r="R58" s="35"/>
      <c r="S58" s="35"/>
      <c r="T58" s="36"/>
      <c r="U58" s="36"/>
      <c r="V58" s="35"/>
      <c r="W58" s="35"/>
      <c r="X58" s="35"/>
      <c r="Y58" s="35"/>
      <c r="Z58" s="34" t="str">
        <f aca="false">IF(E58="","",IF(U58&lt;&gt;"",U58-E58,README!$B$4-E58))</f>
        <v/>
      </c>
      <c r="AA58" s="34" t="str">
        <f aca="false">IF(OR(T58="",U58=""),"",IF(U58&lt;=T58,"Yes","No"))</f>
        <v/>
      </c>
    </row>
    <row r="59" customFormat="false" ht="15" hidden="false" customHeight="false" outlineLevel="0" collapsed="false">
      <c r="A59" s="34" t="str">
        <f aca="false">IF(B59="","","RCA-"&amp;TEXT(ROW()-1,"000"))</f>
        <v/>
      </c>
      <c r="B59" s="35"/>
      <c r="C59" s="35"/>
      <c r="D59" s="36"/>
      <c r="E59" s="36"/>
      <c r="F59" s="35"/>
      <c r="G59" s="35"/>
      <c r="H59" s="35"/>
      <c r="I59" s="35"/>
      <c r="J59" s="35"/>
      <c r="K59" s="35"/>
      <c r="L59" s="35"/>
      <c r="M59" s="35"/>
      <c r="N59" s="36"/>
      <c r="O59" s="35"/>
      <c r="P59" s="35"/>
      <c r="Q59" s="36"/>
      <c r="R59" s="35"/>
      <c r="S59" s="35"/>
      <c r="T59" s="36"/>
      <c r="U59" s="36"/>
      <c r="V59" s="35"/>
      <c r="W59" s="35"/>
      <c r="X59" s="35"/>
      <c r="Y59" s="35"/>
      <c r="Z59" s="34" t="str">
        <f aca="false">IF(E59="","",IF(U59&lt;&gt;"",U59-E59,README!$B$4-E59))</f>
        <v/>
      </c>
      <c r="AA59" s="34" t="str">
        <f aca="false">IF(OR(T59="",U59=""),"",IF(U59&lt;=T59,"Yes","No"))</f>
        <v/>
      </c>
    </row>
    <row r="60" customFormat="false" ht="15" hidden="false" customHeight="false" outlineLevel="0" collapsed="false">
      <c r="A60" s="34" t="str">
        <f aca="false">IF(B60="","","RCA-"&amp;TEXT(ROW()-1,"000"))</f>
        <v/>
      </c>
      <c r="B60" s="35"/>
      <c r="C60" s="35"/>
      <c r="D60" s="36"/>
      <c r="E60" s="36"/>
      <c r="F60" s="35"/>
      <c r="G60" s="35"/>
      <c r="H60" s="35"/>
      <c r="I60" s="35"/>
      <c r="J60" s="35"/>
      <c r="K60" s="35"/>
      <c r="L60" s="35"/>
      <c r="M60" s="35"/>
      <c r="N60" s="36"/>
      <c r="O60" s="35"/>
      <c r="P60" s="35"/>
      <c r="Q60" s="36"/>
      <c r="R60" s="35"/>
      <c r="S60" s="35"/>
      <c r="T60" s="36"/>
      <c r="U60" s="36"/>
      <c r="V60" s="35"/>
      <c r="W60" s="35"/>
      <c r="X60" s="35"/>
      <c r="Y60" s="35"/>
      <c r="Z60" s="34" t="str">
        <f aca="false">IF(E60="","",IF(U60&lt;&gt;"",U60-E60,README!$B$4-E60))</f>
        <v/>
      </c>
      <c r="AA60" s="34" t="str">
        <f aca="false">IF(OR(T60="",U60=""),"",IF(U60&lt;=T60,"Yes","No"))</f>
        <v/>
      </c>
    </row>
    <row r="61" customFormat="false" ht="15" hidden="false" customHeight="false" outlineLevel="0" collapsed="false">
      <c r="A61" s="34" t="str">
        <f aca="false">IF(B61="","","RCA-"&amp;TEXT(ROW()-1,"000"))</f>
        <v/>
      </c>
      <c r="B61" s="35"/>
      <c r="C61" s="35"/>
      <c r="D61" s="36"/>
      <c r="E61" s="36"/>
      <c r="F61" s="35"/>
      <c r="G61" s="35"/>
      <c r="H61" s="35"/>
      <c r="I61" s="35"/>
      <c r="J61" s="35"/>
      <c r="K61" s="35"/>
      <c r="L61" s="35"/>
      <c r="M61" s="35"/>
      <c r="N61" s="36"/>
      <c r="O61" s="35"/>
      <c r="P61" s="35"/>
      <c r="Q61" s="36"/>
      <c r="R61" s="35"/>
      <c r="S61" s="35"/>
      <c r="T61" s="36"/>
      <c r="U61" s="36"/>
      <c r="V61" s="35"/>
      <c r="W61" s="35"/>
      <c r="X61" s="35"/>
      <c r="Y61" s="35"/>
      <c r="Z61" s="34" t="str">
        <f aca="false">IF(E61="","",IF(U61&lt;&gt;"",U61-E61,README!$B$4-E61))</f>
        <v/>
      </c>
      <c r="AA61" s="34" t="str">
        <f aca="false">IF(OR(T61="",U61=""),"",IF(U61&lt;=T61,"Yes","No"))</f>
        <v/>
      </c>
    </row>
    <row r="62" customFormat="false" ht="15" hidden="false" customHeight="false" outlineLevel="0" collapsed="false">
      <c r="A62" s="34" t="str">
        <f aca="false">IF(B62="","","RCA-"&amp;TEXT(ROW()-1,"000"))</f>
        <v/>
      </c>
      <c r="B62" s="35"/>
      <c r="C62" s="35"/>
      <c r="D62" s="36"/>
      <c r="E62" s="36"/>
      <c r="F62" s="35"/>
      <c r="G62" s="35"/>
      <c r="H62" s="35"/>
      <c r="I62" s="35"/>
      <c r="J62" s="35"/>
      <c r="K62" s="35"/>
      <c r="L62" s="35"/>
      <c r="M62" s="35"/>
      <c r="N62" s="36"/>
      <c r="O62" s="35"/>
      <c r="P62" s="35"/>
      <c r="Q62" s="36"/>
      <c r="R62" s="35"/>
      <c r="S62" s="35"/>
      <c r="T62" s="36"/>
      <c r="U62" s="36"/>
      <c r="V62" s="35"/>
      <c r="W62" s="35"/>
      <c r="X62" s="35"/>
      <c r="Y62" s="35"/>
      <c r="Z62" s="34" t="str">
        <f aca="false">IF(E62="","",IF(U62&lt;&gt;"",U62-E62,README!$B$4-E62))</f>
        <v/>
      </c>
      <c r="AA62" s="34" t="str">
        <f aca="false">IF(OR(T62="",U62=""),"",IF(U62&lt;=T62,"Yes","No"))</f>
        <v/>
      </c>
    </row>
    <row r="63" customFormat="false" ht="15" hidden="false" customHeight="false" outlineLevel="0" collapsed="false">
      <c r="A63" s="34" t="str">
        <f aca="false">IF(B63="","","RCA-"&amp;TEXT(ROW()-1,"000"))</f>
        <v/>
      </c>
      <c r="B63" s="35"/>
      <c r="C63" s="35"/>
      <c r="D63" s="36"/>
      <c r="E63" s="36"/>
      <c r="F63" s="35"/>
      <c r="G63" s="35"/>
      <c r="H63" s="35"/>
      <c r="I63" s="35"/>
      <c r="J63" s="35"/>
      <c r="K63" s="35"/>
      <c r="L63" s="35"/>
      <c r="M63" s="35"/>
      <c r="N63" s="36"/>
      <c r="O63" s="35"/>
      <c r="P63" s="35"/>
      <c r="Q63" s="36"/>
      <c r="R63" s="35"/>
      <c r="S63" s="35"/>
      <c r="T63" s="36"/>
      <c r="U63" s="36"/>
      <c r="V63" s="35"/>
      <c r="W63" s="35"/>
      <c r="X63" s="35"/>
      <c r="Y63" s="35"/>
      <c r="Z63" s="34" t="str">
        <f aca="false">IF(E63="","",IF(U63&lt;&gt;"",U63-E63,README!$B$4-E63))</f>
        <v/>
      </c>
      <c r="AA63" s="34" t="str">
        <f aca="false">IF(OR(T63="",U63=""),"",IF(U63&lt;=T63,"Yes","No"))</f>
        <v/>
      </c>
    </row>
    <row r="64" customFormat="false" ht="15" hidden="false" customHeight="false" outlineLevel="0" collapsed="false">
      <c r="A64" s="34" t="str">
        <f aca="false">IF(B64="","","RCA-"&amp;TEXT(ROW()-1,"000"))</f>
        <v/>
      </c>
      <c r="B64" s="35"/>
      <c r="C64" s="35"/>
      <c r="D64" s="36"/>
      <c r="E64" s="36"/>
      <c r="F64" s="35"/>
      <c r="G64" s="35"/>
      <c r="H64" s="35"/>
      <c r="I64" s="35"/>
      <c r="J64" s="35"/>
      <c r="K64" s="35"/>
      <c r="L64" s="35"/>
      <c r="M64" s="35"/>
      <c r="N64" s="36"/>
      <c r="O64" s="35"/>
      <c r="P64" s="35"/>
      <c r="Q64" s="36"/>
      <c r="R64" s="35"/>
      <c r="S64" s="35"/>
      <c r="T64" s="36"/>
      <c r="U64" s="36"/>
      <c r="V64" s="35"/>
      <c r="W64" s="35"/>
      <c r="X64" s="35"/>
      <c r="Y64" s="35"/>
      <c r="Z64" s="34" t="str">
        <f aca="false">IF(E64="","",IF(U64&lt;&gt;"",U64-E64,README!$B$4-E64))</f>
        <v/>
      </c>
      <c r="AA64" s="34" t="str">
        <f aca="false">IF(OR(T64="",U64=""),"",IF(U64&lt;=T64,"Yes","No"))</f>
        <v/>
      </c>
    </row>
    <row r="65" customFormat="false" ht="15" hidden="false" customHeight="false" outlineLevel="0" collapsed="false">
      <c r="A65" s="34" t="str">
        <f aca="false">IF(B65="","","RCA-"&amp;TEXT(ROW()-1,"000"))</f>
        <v/>
      </c>
      <c r="B65" s="35"/>
      <c r="C65" s="35"/>
      <c r="D65" s="36"/>
      <c r="E65" s="36"/>
      <c r="F65" s="35"/>
      <c r="G65" s="35"/>
      <c r="H65" s="35"/>
      <c r="I65" s="35"/>
      <c r="J65" s="35"/>
      <c r="K65" s="35"/>
      <c r="L65" s="35"/>
      <c r="M65" s="35"/>
      <c r="N65" s="36"/>
      <c r="O65" s="35"/>
      <c r="P65" s="35"/>
      <c r="Q65" s="36"/>
      <c r="R65" s="35"/>
      <c r="S65" s="35"/>
      <c r="T65" s="36"/>
      <c r="U65" s="36"/>
      <c r="V65" s="35"/>
      <c r="W65" s="35"/>
      <c r="X65" s="35"/>
      <c r="Y65" s="35"/>
      <c r="Z65" s="34" t="str">
        <f aca="false">IF(E65="","",IF(U65&lt;&gt;"",U65-E65,README!$B$4-E65))</f>
        <v/>
      </c>
      <c r="AA65" s="34" t="str">
        <f aca="false">IF(OR(T65="",U65=""),"",IF(U65&lt;=T65,"Yes","No"))</f>
        <v/>
      </c>
    </row>
    <row r="66" customFormat="false" ht="15" hidden="false" customHeight="false" outlineLevel="0" collapsed="false">
      <c r="A66" s="34" t="str">
        <f aca="false">IF(B66="","","RCA-"&amp;TEXT(ROW()-1,"000"))</f>
        <v/>
      </c>
      <c r="B66" s="35"/>
      <c r="C66" s="35"/>
      <c r="D66" s="36"/>
      <c r="E66" s="36"/>
      <c r="F66" s="35"/>
      <c r="G66" s="35"/>
      <c r="H66" s="35"/>
      <c r="I66" s="35"/>
      <c r="J66" s="35"/>
      <c r="K66" s="35"/>
      <c r="L66" s="35"/>
      <c r="M66" s="35"/>
      <c r="N66" s="36"/>
      <c r="O66" s="35"/>
      <c r="P66" s="35"/>
      <c r="Q66" s="36"/>
      <c r="R66" s="35"/>
      <c r="S66" s="35"/>
      <c r="T66" s="36"/>
      <c r="U66" s="36"/>
      <c r="V66" s="35"/>
      <c r="W66" s="35"/>
      <c r="X66" s="35"/>
      <c r="Y66" s="35"/>
      <c r="Z66" s="34" t="str">
        <f aca="false">IF(E66="","",IF(U66&lt;&gt;"",U66-E66,README!$B$4-E66))</f>
        <v/>
      </c>
      <c r="AA66" s="34" t="str">
        <f aca="false">IF(OR(T66="",U66=""),"",IF(U66&lt;=T66,"Yes","No"))</f>
        <v/>
      </c>
    </row>
    <row r="67" customFormat="false" ht="15" hidden="false" customHeight="false" outlineLevel="0" collapsed="false">
      <c r="A67" s="34" t="str">
        <f aca="false">IF(B67="","","RCA-"&amp;TEXT(ROW()-1,"000"))</f>
        <v/>
      </c>
      <c r="B67" s="35"/>
      <c r="C67" s="35"/>
      <c r="D67" s="36"/>
      <c r="E67" s="36"/>
      <c r="F67" s="35"/>
      <c r="G67" s="35"/>
      <c r="H67" s="35"/>
      <c r="I67" s="35"/>
      <c r="J67" s="35"/>
      <c r="K67" s="35"/>
      <c r="L67" s="35"/>
      <c r="M67" s="35"/>
      <c r="N67" s="36"/>
      <c r="O67" s="35"/>
      <c r="P67" s="35"/>
      <c r="Q67" s="36"/>
      <c r="R67" s="35"/>
      <c r="S67" s="35"/>
      <c r="T67" s="36"/>
      <c r="U67" s="36"/>
      <c r="V67" s="35"/>
      <c r="W67" s="35"/>
      <c r="X67" s="35"/>
      <c r="Y67" s="35"/>
      <c r="Z67" s="34" t="str">
        <f aca="false">IF(E67="","",IF(U67&lt;&gt;"",U67-E67,README!$B$4-E67))</f>
        <v/>
      </c>
      <c r="AA67" s="34" t="str">
        <f aca="false">IF(OR(T67="",U67=""),"",IF(U67&lt;=T67,"Yes","No"))</f>
        <v/>
      </c>
    </row>
    <row r="68" customFormat="false" ht="15" hidden="false" customHeight="false" outlineLevel="0" collapsed="false">
      <c r="A68" s="34" t="str">
        <f aca="false">IF(B68="","","RCA-"&amp;TEXT(ROW()-1,"000"))</f>
        <v/>
      </c>
      <c r="B68" s="35"/>
      <c r="C68" s="35"/>
      <c r="D68" s="36"/>
      <c r="E68" s="36"/>
      <c r="F68" s="35"/>
      <c r="G68" s="35"/>
      <c r="H68" s="35"/>
      <c r="I68" s="35"/>
      <c r="J68" s="35"/>
      <c r="K68" s="35"/>
      <c r="L68" s="35"/>
      <c r="M68" s="35"/>
      <c r="N68" s="36"/>
      <c r="O68" s="35"/>
      <c r="P68" s="35"/>
      <c r="Q68" s="36"/>
      <c r="R68" s="35"/>
      <c r="S68" s="35"/>
      <c r="T68" s="36"/>
      <c r="U68" s="36"/>
      <c r="V68" s="35"/>
      <c r="W68" s="35"/>
      <c r="X68" s="35"/>
      <c r="Y68" s="35"/>
      <c r="Z68" s="34" t="str">
        <f aca="false">IF(E68="","",IF(U68&lt;&gt;"",U68-E68,README!$B$4-E68))</f>
        <v/>
      </c>
      <c r="AA68" s="34" t="str">
        <f aca="false">IF(OR(T68="",U68=""),"",IF(U68&lt;=T68,"Yes","No"))</f>
        <v/>
      </c>
    </row>
    <row r="69" customFormat="false" ht="15" hidden="false" customHeight="false" outlineLevel="0" collapsed="false">
      <c r="A69" s="34" t="str">
        <f aca="false">IF(B69="","","RCA-"&amp;TEXT(ROW()-1,"000"))</f>
        <v/>
      </c>
      <c r="B69" s="35"/>
      <c r="C69" s="35"/>
      <c r="D69" s="36"/>
      <c r="E69" s="36"/>
      <c r="F69" s="35"/>
      <c r="G69" s="35"/>
      <c r="H69" s="35"/>
      <c r="I69" s="35"/>
      <c r="J69" s="35"/>
      <c r="K69" s="35"/>
      <c r="L69" s="35"/>
      <c r="M69" s="35"/>
      <c r="N69" s="36"/>
      <c r="O69" s="35"/>
      <c r="P69" s="35"/>
      <c r="Q69" s="36"/>
      <c r="R69" s="35"/>
      <c r="S69" s="35"/>
      <c r="T69" s="36"/>
      <c r="U69" s="36"/>
      <c r="V69" s="35"/>
      <c r="W69" s="35"/>
      <c r="X69" s="35"/>
      <c r="Y69" s="35"/>
      <c r="Z69" s="34" t="str">
        <f aca="false">IF(E69="","",IF(U69&lt;&gt;"",U69-E69,README!$B$4-E69))</f>
        <v/>
      </c>
      <c r="AA69" s="34" t="str">
        <f aca="false">IF(OR(T69="",U69=""),"",IF(U69&lt;=T69,"Yes","No"))</f>
        <v/>
      </c>
    </row>
    <row r="70" customFormat="false" ht="15" hidden="false" customHeight="false" outlineLevel="0" collapsed="false">
      <c r="A70" s="34" t="str">
        <f aca="false">IF(B70="","","RCA-"&amp;TEXT(ROW()-1,"000"))</f>
        <v/>
      </c>
      <c r="B70" s="35"/>
      <c r="C70" s="35"/>
      <c r="D70" s="36"/>
      <c r="E70" s="36"/>
      <c r="F70" s="35"/>
      <c r="G70" s="35"/>
      <c r="H70" s="35"/>
      <c r="I70" s="35"/>
      <c r="J70" s="35"/>
      <c r="K70" s="35"/>
      <c r="L70" s="35"/>
      <c r="M70" s="35"/>
      <c r="N70" s="36"/>
      <c r="O70" s="35"/>
      <c r="P70" s="35"/>
      <c r="Q70" s="36"/>
      <c r="R70" s="35"/>
      <c r="S70" s="35"/>
      <c r="T70" s="36"/>
      <c r="U70" s="36"/>
      <c r="V70" s="35"/>
      <c r="W70" s="35"/>
      <c r="X70" s="35"/>
      <c r="Y70" s="35"/>
      <c r="Z70" s="34" t="str">
        <f aca="false">IF(E70="","",IF(U70&lt;&gt;"",U70-E70,README!$B$4-E70))</f>
        <v/>
      </c>
      <c r="AA70" s="34" t="str">
        <f aca="false">IF(OR(T70="",U70=""),"",IF(U70&lt;=T70,"Yes","No"))</f>
        <v/>
      </c>
    </row>
    <row r="71" customFormat="false" ht="15" hidden="false" customHeight="false" outlineLevel="0" collapsed="false">
      <c r="A71" s="34" t="str">
        <f aca="false">IF(B71="","","RCA-"&amp;TEXT(ROW()-1,"000"))</f>
        <v/>
      </c>
      <c r="B71" s="35"/>
      <c r="C71" s="35"/>
      <c r="D71" s="36"/>
      <c r="E71" s="36"/>
      <c r="F71" s="35"/>
      <c r="G71" s="35"/>
      <c r="H71" s="35"/>
      <c r="I71" s="35"/>
      <c r="J71" s="35"/>
      <c r="K71" s="35"/>
      <c r="L71" s="35"/>
      <c r="M71" s="35"/>
      <c r="N71" s="36"/>
      <c r="O71" s="35"/>
      <c r="P71" s="35"/>
      <c r="Q71" s="36"/>
      <c r="R71" s="35"/>
      <c r="S71" s="35"/>
      <c r="T71" s="36"/>
      <c r="U71" s="36"/>
      <c r="V71" s="35"/>
      <c r="W71" s="35"/>
      <c r="X71" s="35"/>
      <c r="Y71" s="35"/>
      <c r="Z71" s="34" t="str">
        <f aca="false">IF(E71="","",IF(U71&lt;&gt;"",U71-E71,README!$B$4-E71))</f>
        <v/>
      </c>
      <c r="AA71" s="34" t="str">
        <f aca="false">IF(OR(T71="",U71=""),"",IF(U71&lt;=T71,"Yes","No"))</f>
        <v/>
      </c>
    </row>
    <row r="72" customFormat="false" ht="15" hidden="false" customHeight="false" outlineLevel="0" collapsed="false">
      <c r="A72" s="34" t="str">
        <f aca="false">IF(B72="","","RCA-"&amp;TEXT(ROW()-1,"000"))</f>
        <v/>
      </c>
      <c r="B72" s="35"/>
      <c r="C72" s="35"/>
      <c r="D72" s="36"/>
      <c r="E72" s="36"/>
      <c r="F72" s="35"/>
      <c r="G72" s="35"/>
      <c r="H72" s="35"/>
      <c r="I72" s="35"/>
      <c r="J72" s="35"/>
      <c r="K72" s="35"/>
      <c r="L72" s="35"/>
      <c r="M72" s="35"/>
      <c r="N72" s="36"/>
      <c r="O72" s="35"/>
      <c r="P72" s="35"/>
      <c r="Q72" s="36"/>
      <c r="R72" s="35"/>
      <c r="S72" s="35"/>
      <c r="T72" s="36"/>
      <c r="U72" s="36"/>
      <c r="V72" s="35"/>
      <c r="W72" s="35"/>
      <c r="X72" s="35"/>
      <c r="Y72" s="35"/>
      <c r="Z72" s="34" t="str">
        <f aca="false">IF(E72="","",IF(U72&lt;&gt;"",U72-E72,README!$B$4-E72))</f>
        <v/>
      </c>
      <c r="AA72" s="34" t="str">
        <f aca="false">IF(OR(T72="",U72=""),"",IF(U72&lt;=T72,"Yes","No"))</f>
        <v/>
      </c>
    </row>
    <row r="73" customFormat="false" ht="15" hidden="false" customHeight="false" outlineLevel="0" collapsed="false">
      <c r="A73" s="34" t="str">
        <f aca="false">IF(B73="","","RCA-"&amp;TEXT(ROW()-1,"000"))</f>
        <v/>
      </c>
      <c r="B73" s="35"/>
      <c r="C73" s="35"/>
      <c r="D73" s="36"/>
      <c r="E73" s="36"/>
      <c r="F73" s="35"/>
      <c r="G73" s="35"/>
      <c r="H73" s="35"/>
      <c r="I73" s="35"/>
      <c r="J73" s="35"/>
      <c r="K73" s="35"/>
      <c r="L73" s="35"/>
      <c r="M73" s="35"/>
      <c r="N73" s="36"/>
      <c r="O73" s="35"/>
      <c r="P73" s="35"/>
      <c r="Q73" s="36"/>
      <c r="R73" s="35"/>
      <c r="S73" s="35"/>
      <c r="T73" s="36"/>
      <c r="U73" s="36"/>
      <c r="V73" s="35"/>
      <c r="W73" s="35"/>
      <c r="X73" s="35"/>
      <c r="Y73" s="35"/>
      <c r="Z73" s="34" t="str">
        <f aca="false">IF(E73="","",IF(U73&lt;&gt;"",U73-E73,README!$B$4-E73))</f>
        <v/>
      </c>
      <c r="AA73" s="34" t="str">
        <f aca="false">IF(OR(T73="",U73=""),"",IF(U73&lt;=T73,"Yes","No"))</f>
        <v/>
      </c>
    </row>
    <row r="74" customFormat="false" ht="15" hidden="false" customHeight="false" outlineLevel="0" collapsed="false">
      <c r="A74" s="34" t="str">
        <f aca="false">IF(B74="","","RCA-"&amp;TEXT(ROW()-1,"000"))</f>
        <v/>
      </c>
      <c r="B74" s="35"/>
      <c r="C74" s="35"/>
      <c r="D74" s="36"/>
      <c r="E74" s="36"/>
      <c r="F74" s="35"/>
      <c r="G74" s="35"/>
      <c r="H74" s="35"/>
      <c r="I74" s="35"/>
      <c r="J74" s="35"/>
      <c r="K74" s="35"/>
      <c r="L74" s="35"/>
      <c r="M74" s="35"/>
      <c r="N74" s="36"/>
      <c r="O74" s="35"/>
      <c r="P74" s="35"/>
      <c r="Q74" s="36"/>
      <c r="R74" s="35"/>
      <c r="S74" s="35"/>
      <c r="T74" s="36"/>
      <c r="U74" s="36"/>
      <c r="V74" s="35"/>
      <c r="W74" s="35"/>
      <c r="X74" s="35"/>
      <c r="Y74" s="35"/>
      <c r="Z74" s="34" t="str">
        <f aca="false">IF(E74="","",IF(U74&lt;&gt;"",U74-E74,README!$B$4-E74))</f>
        <v/>
      </c>
      <c r="AA74" s="34" t="str">
        <f aca="false">IF(OR(T74="",U74=""),"",IF(U74&lt;=T74,"Yes","No"))</f>
        <v/>
      </c>
    </row>
    <row r="75" customFormat="false" ht="15" hidden="false" customHeight="false" outlineLevel="0" collapsed="false">
      <c r="A75" s="34" t="str">
        <f aca="false">IF(B75="","","RCA-"&amp;TEXT(ROW()-1,"000"))</f>
        <v/>
      </c>
      <c r="B75" s="35"/>
      <c r="C75" s="35"/>
      <c r="D75" s="36"/>
      <c r="E75" s="36"/>
      <c r="F75" s="35"/>
      <c r="G75" s="35"/>
      <c r="H75" s="35"/>
      <c r="I75" s="35"/>
      <c r="J75" s="35"/>
      <c r="K75" s="35"/>
      <c r="L75" s="35"/>
      <c r="M75" s="35"/>
      <c r="N75" s="36"/>
      <c r="O75" s="35"/>
      <c r="P75" s="35"/>
      <c r="Q75" s="36"/>
      <c r="R75" s="35"/>
      <c r="S75" s="35"/>
      <c r="T75" s="36"/>
      <c r="U75" s="36"/>
      <c r="V75" s="35"/>
      <c r="W75" s="35"/>
      <c r="X75" s="35"/>
      <c r="Y75" s="35"/>
      <c r="Z75" s="34" t="str">
        <f aca="false">IF(E75="","",IF(U75&lt;&gt;"",U75-E75,README!$B$4-E75))</f>
        <v/>
      </c>
      <c r="AA75" s="34" t="str">
        <f aca="false">IF(OR(T75="",U75=""),"",IF(U75&lt;=T75,"Yes","No"))</f>
        <v/>
      </c>
    </row>
    <row r="76" customFormat="false" ht="15" hidden="false" customHeight="false" outlineLevel="0" collapsed="false">
      <c r="A76" s="34" t="str">
        <f aca="false">IF(B76="","","RCA-"&amp;TEXT(ROW()-1,"000"))</f>
        <v/>
      </c>
      <c r="B76" s="35"/>
      <c r="C76" s="35"/>
      <c r="D76" s="36"/>
      <c r="E76" s="36"/>
      <c r="F76" s="35"/>
      <c r="G76" s="35"/>
      <c r="H76" s="35"/>
      <c r="I76" s="35"/>
      <c r="J76" s="35"/>
      <c r="K76" s="35"/>
      <c r="L76" s="35"/>
      <c r="M76" s="35"/>
      <c r="N76" s="36"/>
      <c r="O76" s="35"/>
      <c r="P76" s="35"/>
      <c r="Q76" s="36"/>
      <c r="R76" s="35"/>
      <c r="S76" s="35"/>
      <c r="T76" s="36"/>
      <c r="U76" s="36"/>
      <c r="V76" s="35"/>
      <c r="W76" s="35"/>
      <c r="X76" s="35"/>
      <c r="Y76" s="35"/>
      <c r="Z76" s="34" t="str">
        <f aca="false">IF(E76="","",IF(U76&lt;&gt;"",U76-E76,README!$B$4-E76))</f>
        <v/>
      </c>
      <c r="AA76" s="34" t="str">
        <f aca="false">IF(OR(T76="",U76=""),"",IF(U76&lt;=T76,"Yes","No"))</f>
        <v/>
      </c>
    </row>
    <row r="77" customFormat="false" ht="15" hidden="false" customHeight="false" outlineLevel="0" collapsed="false">
      <c r="A77" s="34" t="str">
        <f aca="false">IF(B77="","","RCA-"&amp;TEXT(ROW()-1,"000"))</f>
        <v/>
      </c>
      <c r="B77" s="35"/>
      <c r="C77" s="35"/>
      <c r="D77" s="36"/>
      <c r="E77" s="36"/>
      <c r="F77" s="35"/>
      <c r="G77" s="35"/>
      <c r="H77" s="35"/>
      <c r="I77" s="35"/>
      <c r="J77" s="35"/>
      <c r="K77" s="35"/>
      <c r="L77" s="35"/>
      <c r="M77" s="35"/>
      <c r="N77" s="36"/>
      <c r="O77" s="35"/>
      <c r="P77" s="35"/>
      <c r="Q77" s="36"/>
      <c r="R77" s="35"/>
      <c r="S77" s="35"/>
      <c r="T77" s="36"/>
      <c r="U77" s="36"/>
      <c r="V77" s="35"/>
      <c r="W77" s="35"/>
      <c r="X77" s="35"/>
      <c r="Y77" s="35"/>
      <c r="Z77" s="34" t="str">
        <f aca="false">IF(E77="","",IF(U77&lt;&gt;"",U77-E77,README!$B$4-E77))</f>
        <v/>
      </c>
      <c r="AA77" s="34" t="str">
        <f aca="false">IF(OR(T77="",U77=""),"",IF(U77&lt;=T77,"Yes","No"))</f>
        <v/>
      </c>
    </row>
    <row r="78" customFormat="false" ht="15" hidden="false" customHeight="false" outlineLevel="0" collapsed="false">
      <c r="A78" s="34" t="str">
        <f aca="false">IF(B78="","","RCA-"&amp;TEXT(ROW()-1,"000"))</f>
        <v/>
      </c>
      <c r="B78" s="35"/>
      <c r="C78" s="35"/>
      <c r="D78" s="36"/>
      <c r="E78" s="36"/>
      <c r="F78" s="35"/>
      <c r="G78" s="35"/>
      <c r="H78" s="35"/>
      <c r="I78" s="35"/>
      <c r="J78" s="35"/>
      <c r="K78" s="35"/>
      <c r="L78" s="35"/>
      <c r="M78" s="35"/>
      <c r="N78" s="36"/>
      <c r="O78" s="35"/>
      <c r="P78" s="35"/>
      <c r="Q78" s="36"/>
      <c r="R78" s="35"/>
      <c r="S78" s="35"/>
      <c r="T78" s="36"/>
      <c r="U78" s="36"/>
      <c r="V78" s="35"/>
      <c r="W78" s="35"/>
      <c r="X78" s="35"/>
      <c r="Y78" s="35"/>
      <c r="Z78" s="34" t="str">
        <f aca="false">IF(E78="","",IF(U78&lt;&gt;"",U78-E78,README!$B$4-E78))</f>
        <v/>
      </c>
      <c r="AA78" s="34" t="str">
        <f aca="false">IF(OR(T78="",U78=""),"",IF(U78&lt;=T78,"Yes","No"))</f>
        <v/>
      </c>
    </row>
    <row r="79" customFormat="false" ht="15" hidden="false" customHeight="false" outlineLevel="0" collapsed="false">
      <c r="A79" s="34" t="str">
        <f aca="false">IF(B79="","","RCA-"&amp;TEXT(ROW()-1,"000"))</f>
        <v/>
      </c>
      <c r="B79" s="35"/>
      <c r="C79" s="35"/>
      <c r="D79" s="36"/>
      <c r="E79" s="36"/>
      <c r="F79" s="35"/>
      <c r="G79" s="35"/>
      <c r="H79" s="35"/>
      <c r="I79" s="35"/>
      <c r="J79" s="35"/>
      <c r="K79" s="35"/>
      <c r="L79" s="35"/>
      <c r="M79" s="35"/>
      <c r="N79" s="36"/>
      <c r="O79" s="35"/>
      <c r="P79" s="35"/>
      <c r="Q79" s="36"/>
      <c r="R79" s="35"/>
      <c r="S79" s="35"/>
      <c r="T79" s="36"/>
      <c r="U79" s="36"/>
      <c r="V79" s="35"/>
      <c r="W79" s="35"/>
      <c r="X79" s="35"/>
      <c r="Y79" s="35"/>
      <c r="Z79" s="34" t="str">
        <f aca="false">IF(E79="","",IF(U79&lt;&gt;"",U79-E79,README!$B$4-E79))</f>
        <v/>
      </c>
      <c r="AA79" s="34" t="str">
        <f aca="false">IF(OR(T79="",U79=""),"",IF(U79&lt;=T79,"Yes","No"))</f>
        <v/>
      </c>
    </row>
    <row r="80" customFormat="false" ht="15" hidden="false" customHeight="false" outlineLevel="0" collapsed="false">
      <c r="A80" s="34" t="str">
        <f aca="false">IF(B80="","","RCA-"&amp;TEXT(ROW()-1,"000"))</f>
        <v/>
      </c>
      <c r="B80" s="35"/>
      <c r="C80" s="35"/>
      <c r="D80" s="36"/>
      <c r="E80" s="36"/>
      <c r="F80" s="35"/>
      <c r="G80" s="35"/>
      <c r="H80" s="35"/>
      <c r="I80" s="35"/>
      <c r="J80" s="35"/>
      <c r="K80" s="35"/>
      <c r="L80" s="35"/>
      <c r="M80" s="35"/>
      <c r="N80" s="36"/>
      <c r="O80" s="35"/>
      <c r="P80" s="35"/>
      <c r="Q80" s="36"/>
      <c r="R80" s="35"/>
      <c r="S80" s="35"/>
      <c r="T80" s="36"/>
      <c r="U80" s="36"/>
      <c r="V80" s="35"/>
      <c r="W80" s="35"/>
      <c r="X80" s="35"/>
      <c r="Y80" s="35"/>
      <c r="Z80" s="34" t="str">
        <f aca="false">IF(E80="","",IF(U80&lt;&gt;"",U80-E80,README!$B$4-E80))</f>
        <v/>
      </c>
      <c r="AA80" s="34" t="str">
        <f aca="false">IF(OR(T80="",U80=""),"",IF(U80&lt;=T80,"Yes","No"))</f>
        <v/>
      </c>
    </row>
    <row r="81" customFormat="false" ht="15" hidden="false" customHeight="false" outlineLevel="0" collapsed="false">
      <c r="A81" s="34" t="str">
        <f aca="false">IF(B81="","","RCA-"&amp;TEXT(ROW()-1,"000"))</f>
        <v/>
      </c>
      <c r="B81" s="35"/>
      <c r="C81" s="35"/>
      <c r="D81" s="36"/>
      <c r="E81" s="36"/>
      <c r="F81" s="35"/>
      <c r="G81" s="35"/>
      <c r="H81" s="35"/>
      <c r="I81" s="35"/>
      <c r="J81" s="35"/>
      <c r="K81" s="35"/>
      <c r="L81" s="35"/>
      <c r="M81" s="35"/>
      <c r="N81" s="36"/>
      <c r="O81" s="35"/>
      <c r="P81" s="35"/>
      <c r="Q81" s="36"/>
      <c r="R81" s="35"/>
      <c r="S81" s="35"/>
      <c r="T81" s="36"/>
      <c r="U81" s="36"/>
      <c r="V81" s="35"/>
      <c r="W81" s="35"/>
      <c r="X81" s="35"/>
      <c r="Y81" s="35"/>
      <c r="Z81" s="34" t="str">
        <f aca="false">IF(E81="","",IF(U81&lt;&gt;"",U81-E81,README!$B$4-E81))</f>
        <v/>
      </c>
      <c r="AA81" s="34" t="str">
        <f aca="false">IF(OR(T81="",U81=""),"",IF(U81&lt;=T81,"Yes","No"))</f>
        <v/>
      </c>
    </row>
    <row r="82" customFormat="false" ht="15" hidden="false" customHeight="false" outlineLevel="0" collapsed="false">
      <c r="A82" s="34" t="str">
        <f aca="false">IF(B82="","","RCA-"&amp;TEXT(ROW()-1,"000"))</f>
        <v/>
      </c>
      <c r="B82" s="35"/>
      <c r="C82" s="35"/>
      <c r="D82" s="36"/>
      <c r="E82" s="36"/>
      <c r="F82" s="35"/>
      <c r="G82" s="35"/>
      <c r="H82" s="35"/>
      <c r="I82" s="35"/>
      <c r="J82" s="35"/>
      <c r="K82" s="35"/>
      <c r="L82" s="35"/>
      <c r="M82" s="35"/>
      <c r="N82" s="36"/>
      <c r="O82" s="35"/>
      <c r="P82" s="35"/>
      <c r="Q82" s="36"/>
      <c r="R82" s="35"/>
      <c r="S82" s="35"/>
      <c r="T82" s="36"/>
      <c r="U82" s="36"/>
      <c r="V82" s="35"/>
      <c r="W82" s="35"/>
      <c r="X82" s="35"/>
      <c r="Y82" s="35"/>
      <c r="Z82" s="34" t="str">
        <f aca="false">IF(E82="","",IF(U82&lt;&gt;"",U82-E82,README!$B$4-E82))</f>
        <v/>
      </c>
      <c r="AA82" s="34" t="str">
        <f aca="false">IF(OR(T82="",U82=""),"",IF(U82&lt;=T82,"Yes","No"))</f>
        <v/>
      </c>
    </row>
    <row r="83" customFormat="false" ht="15" hidden="false" customHeight="false" outlineLevel="0" collapsed="false">
      <c r="A83" s="34" t="str">
        <f aca="false">IF(B83="","","RCA-"&amp;TEXT(ROW()-1,"000"))</f>
        <v/>
      </c>
      <c r="B83" s="35"/>
      <c r="C83" s="35"/>
      <c r="D83" s="36"/>
      <c r="E83" s="36"/>
      <c r="F83" s="35"/>
      <c r="G83" s="35"/>
      <c r="H83" s="35"/>
      <c r="I83" s="35"/>
      <c r="J83" s="35"/>
      <c r="K83" s="35"/>
      <c r="L83" s="35"/>
      <c r="M83" s="35"/>
      <c r="N83" s="36"/>
      <c r="O83" s="35"/>
      <c r="P83" s="35"/>
      <c r="Q83" s="36"/>
      <c r="R83" s="35"/>
      <c r="S83" s="35"/>
      <c r="T83" s="36"/>
      <c r="U83" s="36"/>
      <c r="V83" s="35"/>
      <c r="W83" s="35"/>
      <c r="X83" s="35"/>
      <c r="Y83" s="35"/>
      <c r="Z83" s="34" t="str">
        <f aca="false">IF(E83="","",IF(U83&lt;&gt;"",U83-E83,README!$B$4-E83))</f>
        <v/>
      </c>
      <c r="AA83" s="34" t="str">
        <f aca="false">IF(OR(T83="",U83=""),"",IF(U83&lt;=T83,"Yes","No"))</f>
        <v/>
      </c>
    </row>
    <row r="84" customFormat="false" ht="15" hidden="false" customHeight="false" outlineLevel="0" collapsed="false">
      <c r="A84" s="34" t="str">
        <f aca="false">IF(B84="","","RCA-"&amp;TEXT(ROW()-1,"000"))</f>
        <v/>
      </c>
      <c r="B84" s="35"/>
      <c r="C84" s="35"/>
      <c r="D84" s="36"/>
      <c r="E84" s="36"/>
      <c r="F84" s="35"/>
      <c r="G84" s="35"/>
      <c r="H84" s="35"/>
      <c r="I84" s="35"/>
      <c r="J84" s="35"/>
      <c r="K84" s="35"/>
      <c r="L84" s="35"/>
      <c r="M84" s="35"/>
      <c r="N84" s="36"/>
      <c r="O84" s="35"/>
      <c r="P84" s="35"/>
      <c r="Q84" s="36"/>
      <c r="R84" s="35"/>
      <c r="S84" s="35"/>
      <c r="T84" s="36"/>
      <c r="U84" s="36"/>
      <c r="V84" s="35"/>
      <c r="W84" s="35"/>
      <c r="X84" s="35"/>
      <c r="Y84" s="35"/>
      <c r="Z84" s="34" t="str">
        <f aca="false">IF(E84="","",IF(U84&lt;&gt;"",U84-E84,README!$B$4-E84))</f>
        <v/>
      </c>
      <c r="AA84" s="34" t="str">
        <f aca="false">IF(OR(T84="",U84=""),"",IF(U84&lt;=T84,"Yes","No"))</f>
        <v/>
      </c>
    </row>
    <row r="85" customFormat="false" ht="15" hidden="false" customHeight="false" outlineLevel="0" collapsed="false">
      <c r="A85" s="34" t="str">
        <f aca="false">IF(B85="","","RCA-"&amp;TEXT(ROW()-1,"000"))</f>
        <v/>
      </c>
      <c r="B85" s="35"/>
      <c r="C85" s="35"/>
      <c r="D85" s="36"/>
      <c r="E85" s="36"/>
      <c r="F85" s="35"/>
      <c r="G85" s="35"/>
      <c r="H85" s="35"/>
      <c r="I85" s="35"/>
      <c r="J85" s="35"/>
      <c r="K85" s="35"/>
      <c r="L85" s="35"/>
      <c r="M85" s="35"/>
      <c r="N85" s="36"/>
      <c r="O85" s="35"/>
      <c r="P85" s="35"/>
      <c r="Q85" s="36"/>
      <c r="R85" s="35"/>
      <c r="S85" s="35"/>
      <c r="T85" s="36"/>
      <c r="U85" s="36"/>
      <c r="V85" s="35"/>
      <c r="W85" s="35"/>
      <c r="X85" s="35"/>
      <c r="Y85" s="35"/>
      <c r="Z85" s="34" t="str">
        <f aca="false">IF(E85="","",IF(U85&lt;&gt;"",U85-E85,README!$B$4-E85))</f>
        <v/>
      </c>
      <c r="AA85" s="34" t="str">
        <f aca="false">IF(OR(T85="",U85=""),"",IF(U85&lt;=T85,"Yes","No"))</f>
        <v/>
      </c>
    </row>
    <row r="86" customFormat="false" ht="15" hidden="false" customHeight="false" outlineLevel="0" collapsed="false">
      <c r="A86" s="34" t="str">
        <f aca="false">IF(B86="","","RCA-"&amp;TEXT(ROW()-1,"000"))</f>
        <v/>
      </c>
      <c r="B86" s="35"/>
      <c r="C86" s="35"/>
      <c r="D86" s="36"/>
      <c r="E86" s="36"/>
      <c r="F86" s="35"/>
      <c r="G86" s="35"/>
      <c r="H86" s="35"/>
      <c r="I86" s="35"/>
      <c r="J86" s="35"/>
      <c r="K86" s="35"/>
      <c r="L86" s="35"/>
      <c r="M86" s="35"/>
      <c r="N86" s="36"/>
      <c r="O86" s="35"/>
      <c r="P86" s="35"/>
      <c r="Q86" s="36"/>
      <c r="R86" s="35"/>
      <c r="S86" s="35"/>
      <c r="T86" s="36"/>
      <c r="U86" s="36"/>
      <c r="V86" s="35"/>
      <c r="W86" s="35"/>
      <c r="X86" s="35"/>
      <c r="Y86" s="35"/>
      <c r="Z86" s="34" t="str">
        <f aca="false">IF(E86="","",IF(U86&lt;&gt;"",U86-E86,README!$B$4-E86))</f>
        <v/>
      </c>
      <c r="AA86" s="34" t="str">
        <f aca="false">IF(OR(T86="",U86=""),"",IF(U86&lt;=T86,"Yes","No"))</f>
        <v/>
      </c>
    </row>
    <row r="87" customFormat="false" ht="15" hidden="false" customHeight="false" outlineLevel="0" collapsed="false">
      <c r="A87" s="34" t="str">
        <f aca="false">IF(B87="","","RCA-"&amp;TEXT(ROW()-1,"000"))</f>
        <v/>
      </c>
      <c r="B87" s="35"/>
      <c r="C87" s="35"/>
      <c r="D87" s="36"/>
      <c r="E87" s="36"/>
      <c r="F87" s="35"/>
      <c r="G87" s="35"/>
      <c r="H87" s="35"/>
      <c r="I87" s="35"/>
      <c r="J87" s="35"/>
      <c r="K87" s="35"/>
      <c r="L87" s="35"/>
      <c r="M87" s="35"/>
      <c r="N87" s="36"/>
      <c r="O87" s="35"/>
      <c r="P87" s="35"/>
      <c r="Q87" s="36"/>
      <c r="R87" s="35"/>
      <c r="S87" s="35"/>
      <c r="T87" s="36"/>
      <c r="U87" s="36"/>
      <c r="V87" s="35"/>
      <c r="W87" s="35"/>
      <c r="X87" s="35"/>
      <c r="Y87" s="35"/>
      <c r="Z87" s="34" t="str">
        <f aca="false">IF(E87="","",IF(U87&lt;&gt;"",U87-E87,README!$B$4-E87))</f>
        <v/>
      </c>
      <c r="AA87" s="34" t="str">
        <f aca="false">IF(OR(T87="",U87=""),"",IF(U87&lt;=T87,"Yes","No"))</f>
        <v/>
      </c>
    </row>
    <row r="88" customFormat="false" ht="15" hidden="false" customHeight="false" outlineLevel="0" collapsed="false">
      <c r="A88" s="34" t="str">
        <f aca="false">IF(B88="","","RCA-"&amp;TEXT(ROW()-1,"000"))</f>
        <v/>
      </c>
      <c r="B88" s="35"/>
      <c r="C88" s="35"/>
      <c r="D88" s="36"/>
      <c r="E88" s="36"/>
      <c r="F88" s="35"/>
      <c r="G88" s="35"/>
      <c r="H88" s="35"/>
      <c r="I88" s="35"/>
      <c r="J88" s="35"/>
      <c r="K88" s="35"/>
      <c r="L88" s="35"/>
      <c r="M88" s="35"/>
      <c r="N88" s="36"/>
      <c r="O88" s="35"/>
      <c r="P88" s="35"/>
      <c r="Q88" s="36"/>
      <c r="R88" s="35"/>
      <c r="S88" s="35"/>
      <c r="T88" s="36"/>
      <c r="U88" s="36"/>
      <c r="V88" s="35"/>
      <c r="W88" s="35"/>
      <c r="X88" s="35"/>
      <c r="Y88" s="35"/>
      <c r="Z88" s="34" t="str">
        <f aca="false">IF(E88="","",IF(U88&lt;&gt;"",U88-E88,README!$B$4-E88))</f>
        <v/>
      </c>
      <c r="AA88" s="34" t="str">
        <f aca="false">IF(OR(T88="",U88=""),"",IF(U88&lt;=T88,"Yes","No"))</f>
        <v/>
      </c>
    </row>
    <row r="89" customFormat="false" ht="15" hidden="false" customHeight="false" outlineLevel="0" collapsed="false">
      <c r="A89" s="34" t="str">
        <f aca="false">IF(B89="","","RCA-"&amp;TEXT(ROW()-1,"000"))</f>
        <v/>
      </c>
      <c r="B89" s="35"/>
      <c r="C89" s="35"/>
      <c r="D89" s="36"/>
      <c r="E89" s="36"/>
      <c r="F89" s="35"/>
      <c r="G89" s="35"/>
      <c r="H89" s="35"/>
      <c r="I89" s="35"/>
      <c r="J89" s="35"/>
      <c r="K89" s="35"/>
      <c r="L89" s="35"/>
      <c r="M89" s="35"/>
      <c r="N89" s="36"/>
      <c r="O89" s="35"/>
      <c r="P89" s="35"/>
      <c r="Q89" s="36"/>
      <c r="R89" s="35"/>
      <c r="S89" s="35"/>
      <c r="T89" s="36"/>
      <c r="U89" s="36"/>
      <c r="V89" s="35"/>
      <c r="W89" s="35"/>
      <c r="X89" s="35"/>
      <c r="Y89" s="35"/>
      <c r="Z89" s="34" t="str">
        <f aca="false">IF(E89="","",IF(U89&lt;&gt;"",U89-E89,README!$B$4-E89))</f>
        <v/>
      </c>
      <c r="AA89" s="34" t="str">
        <f aca="false">IF(OR(T89="",U89=""),"",IF(U89&lt;=T89,"Yes","No"))</f>
        <v/>
      </c>
    </row>
    <row r="90" customFormat="false" ht="15" hidden="false" customHeight="false" outlineLevel="0" collapsed="false">
      <c r="A90" s="34" t="str">
        <f aca="false">IF(B90="","","RCA-"&amp;TEXT(ROW()-1,"000"))</f>
        <v/>
      </c>
      <c r="B90" s="35"/>
      <c r="C90" s="35"/>
      <c r="D90" s="36"/>
      <c r="E90" s="36"/>
      <c r="F90" s="35"/>
      <c r="G90" s="35"/>
      <c r="H90" s="35"/>
      <c r="I90" s="35"/>
      <c r="J90" s="35"/>
      <c r="K90" s="35"/>
      <c r="L90" s="35"/>
      <c r="M90" s="35"/>
      <c r="N90" s="36"/>
      <c r="O90" s="35"/>
      <c r="P90" s="35"/>
      <c r="Q90" s="36"/>
      <c r="R90" s="35"/>
      <c r="S90" s="35"/>
      <c r="T90" s="36"/>
      <c r="U90" s="36"/>
      <c r="V90" s="35"/>
      <c r="W90" s="35"/>
      <c r="X90" s="35"/>
      <c r="Y90" s="35"/>
      <c r="Z90" s="34" t="str">
        <f aca="false">IF(E90="","",IF(U90&lt;&gt;"",U90-E90,README!$B$4-E90))</f>
        <v/>
      </c>
      <c r="AA90" s="34" t="str">
        <f aca="false">IF(OR(T90="",U90=""),"",IF(U90&lt;=T90,"Yes","No"))</f>
        <v/>
      </c>
    </row>
    <row r="91" customFormat="false" ht="15" hidden="false" customHeight="false" outlineLevel="0" collapsed="false">
      <c r="A91" s="34" t="str">
        <f aca="false">IF(B91="","","RCA-"&amp;TEXT(ROW()-1,"000"))</f>
        <v/>
      </c>
      <c r="B91" s="35"/>
      <c r="C91" s="35"/>
      <c r="D91" s="36"/>
      <c r="E91" s="36"/>
      <c r="F91" s="35"/>
      <c r="G91" s="35"/>
      <c r="H91" s="35"/>
      <c r="I91" s="35"/>
      <c r="J91" s="35"/>
      <c r="K91" s="35"/>
      <c r="L91" s="35"/>
      <c r="M91" s="35"/>
      <c r="N91" s="36"/>
      <c r="O91" s="35"/>
      <c r="P91" s="35"/>
      <c r="Q91" s="36"/>
      <c r="R91" s="35"/>
      <c r="S91" s="35"/>
      <c r="T91" s="36"/>
      <c r="U91" s="36"/>
      <c r="V91" s="35"/>
      <c r="W91" s="35"/>
      <c r="X91" s="35"/>
      <c r="Y91" s="35"/>
      <c r="Z91" s="34" t="str">
        <f aca="false">IF(E91="","",IF(U91&lt;&gt;"",U91-E91,README!$B$4-E91))</f>
        <v/>
      </c>
      <c r="AA91" s="34" t="str">
        <f aca="false">IF(OR(T91="",U91=""),"",IF(U91&lt;=T91,"Yes","No"))</f>
        <v/>
      </c>
    </row>
    <row r="92" customFormat="false" ht="15" hidden="false" customHeight="false" outlineLevel="0" collapsed="false">
      <c r="A92" s="34" t="str">
        <f aca="false">IF(B92="","","RCA-"&amp;TEXT(ROW()-1,"000"))</f>
        <v/>
      </c>
      <c r="B92" s="35"/>
      <c r="C92" s="35"/>
      <c r="D92" s="36"/>
      <c r="E92" s="36"/>
      <c r="F92" s="35"/>
      <c r="G92" s="35"/>
      <c r="H92" s="35"/>
      <c r="I92" s="35"/>
      <c r="J92" s="35"/>
      <c r="K92" s="35"/>
      <c r="L92" s="35"/>
      <c r="M92" s="35"/>
      <c r="N92" s="36"/>
      <c r="O92" s="35"/>
      <c r="P92" s="35"/>
      <c r="Q92" s="36"/>
      <c r="R92" s="35"/>
      <c r="S92" s="35"/>
      <c r="T92" s="36"/>
      <c r="U92" s="36"/>
      <c r="V92" s="35"/>
      <c r="W92" s="35"/>
      <c r="X92" s="35"/>
      <c r="Y92" s="35"/>
      <c r="Z92" s="34" t="str">
        <f aca="false">IF(E92="","",IF(U92&lt;&gt;"",U92-E92,README!$B$4-E92))</f>
        <v/>
      </c>
      <c r="AA92" s="34" t="str">
        <f aca="false">IF(OR(T92="",U92=""),"",IF(U92&lt;=T92,"Yes","No"))</f>
        <v/>
      </c>
    </row>
    <row r="93" customFormat="false" ht="15" hidden="false" customHeight="false" outlineLevel="0" collapsed="false">
      <c r="A93" s="34" t="str">
        <f aca="false">IF(B93="","","RCA-"&amp;TEXT(ROW()-1,"000"))</f>
        <v/>
      </c>
      <c r="B93" s="35"/>
      <c r="C93" s="35"/>
      <c r="D93" s="36"/>
      <c r="E93" s="36"/>
      <c r="F93" s="35"/>
      <c r="G93" s="35"/>
      <c r="H93" s="35"/>
      <c r="I93" s="35"/>
      <c r="J93" s="35"/>
      <c r="K93" s="35"/>
      <c r="L93" s="35"/>
      <c r="M93" s="35"/>
      <c r="N93" s="36"/>
      <c r="O93" s="35"/>
      <c r="P93" s="35"/>
      <c r="Q93" s="36"/>
      <c r="R93" s="35"/>
      <c r="S93" s="35"/>
      <c r="T93" s="36"/>
      <c r="U93" s="36"/>
      <c r="V93" s="35"/>
      <c r="W93" s="35"/>
      <c r="X93" s="35"/>
      <c r="Y93" s="35"/>
      <c r="Z93" s="34" t="str">
        <f aca="false">IF(E93="","",IF(U93&lt;&gt;"",U93-E93,README!$B$4-E93))</f>
        <v/>
      </c>
      <c r="AA93" s="34" t="str">
        <f aca="false">IF(OR(T93="",U93=""),"",IF(U93&lt;=T93,"Yes","No"))</f>
        <v/>
      </c>
    </row>
    <row r="94" customFormat="false" ht="15" hidden="false" customHeight="false" outlineLevel="0" collapsed="false">
      <c r="A94" s="34" t="str">
        <f aca="false">IF(B94="","","RCA-"&amp;TEXT(ROW()-1,"000"))</f>
        <v/>
      </c>
      <c r="B94" s="35"/>
      <c r="C94" s="35"/>
      <c r="D94" s="36"/>
      <c r="E94" s="36"/>
      <c r="F94" s="35"/>
      <c r="G94" s="35"/>
      <c r="H94" s="35"/>
      <c r="I94" s="35"/>
      <c r="J94" s="35"/>
      <c r="K94" s="35"/>
      <c r="L94" s="35"/>
      <c r="M94" s="35"/>
      <c r="N94" s="36"/>
      <c r="O94" s="35"/>
      <c r="P94" s="35"/>
      <c r="Q94" s="36"/>
      <c r="R94" s="35"/>
      <c r="S94" s="35"/>
      <c r="T94" s="36"/>
      <c r="U94" s="36"/>
      <c r="V94" s="35"/>
      <c r="W94" s="35"/>
      <c r="X94" s="35"/>
      <c r="Y94" s="35"/>
      <c r="Z94" s="34" t="str">
        <f aca="false">IF(E94="","",IF(U94&lt;&gt;"",U94-E94,README!$B$4-E94))</f>
        <v/>
      </c>
      <c r="AA94" s="34" t="str">
        <f aca="false">IF(OR(T94="",U94=""),"",IF(U94&lt;=T94,"Yes","No"))</f>
        <v/>
      </c>
    </row>
    <row r="95" customFormat="false" ht="15" hidden="false" customHeight="false" outlineLevel="0" collapsed="false">
      <c r="A95" s="34" t="str">
        <f aca="false">IF(B95="","","RCA-"&amp;TEXT(ROW()-1,"000"))</f>
        <v/>
      </c>
      <c r="B95" s="35"/>
      <c r="C95" s="35"/>
      <c r="D95" s="36"/>
      <c r="E95" s="36"/>
      <c r="F95" s="35"/>
      <c r="G95" s="35"/>
      <c r="H95" s="35"/>
      <c r="I95" s="35"/>
      <c r="J95" s="35"/>
      <c r="K95" s="35"/>
      <c r="L95" s="35"/>
      <c r="M95" s="35"/>
      <c r="N95" s="36"/>
      <c r="O95" s="35"/>
      <c r="P95" s="35"/>
      <c r="Q95" s="36"/>
      <c r="R95" s="35"/>
      <c r="S95" s="35"/>
      <c r="T95" s="36"/>
      <c r="U95" s="36"/>
      <c r="V95" s="35"/>
      <c r="W95" s="35"/>
      <c r="X95" s="35"/>
      <c r="Y95" s="35"/>
      <c r="Z95" s="34" t="str">
        <f aca="false">IF(E95="","",IF(U95&lt;&gt;"",U95-E95,README!$B$4-E95))</f>
        <v/>
      </c>
      <c r="AA95" s="34" t="str">
        <f aca="false">IF(OR(T95="",U95=""),"",IF(U95&lt;=T95,"Yes","No"))</f>
        <v/>
      </c>
    </row>
    <row r="96" customFormat="false" ht="15" hidden="false" customHeight="false" outlineLevel="0" collapsed="false">
      <c r="A96" s="34" t="str">
        <f aca="false">IF(B96="","","RCA-"&amp;TEXT(ROW()-1,"000"))</f>
        <v/>
      </c>
      <c r="B96" s="35"/>
      <c r="C96" s="35"/>
      <c r="D96" s="36"/>
      <c r="E96" s="36"/>
      <c r="F96" s="35"/>
      <c r="G96" s="35"/>
      <c r="H96" s="35"/>
      <c r="I96" s="35"/>
      <c r="J96" s="35"/>
      <c r="K96" s="35"/>
      <c r="L96" s="35"/>
      <c r="M96" s="35"/>
      <c r="N96" s="36"/>
      <c r="O96" s="35"/>
      <c r="P96" s="35"/>
      <c r="Q96" s="36"/>
      <c r="R96" s="35"/>
      <c r="S96" s="35"/>
      <c r="T96" s="36"/>
      <c r="U96" s="36"/>
      <c r="V96" s="35"/>
      <c r="W96" s="35"/>
      <c r="X96" s="35"/>
      <c r="Y96" s="35"/>
      <c r="Z96" s="34" t="str">
        <f aca="false">IF(E96="","",IF(U96&lt;&gt;"",U96-E96,README!$B$4-E96))</f>
        <v/>
      </c>
      <c r="AA96" s="34" t="str">
        <f aca="false">IF(OR(T96="",U96=""),"",IF(U96&lt;=T96,"Yes","No"))</f>
        <v/>
      </c>
    </row>
    <row r="97" customFormat="false" ht="15" hidden="false" customHeight="false" outlineLevel="0" collapsed="false">
      <c r="A97" s="34" t="str">
        <f aca="false">IF(B97="","","RCA-"&amp;TEXT(ROW()-1,"000"))</f>
        <v/>
      </c>
      <c r="B97" s="35"/>
      <c r="C97" s="35"/>
      <c r="D97" s="36"/>
      <c r="E97" s="36"/>
      <c r="F97" s="35"/>
      <c r="G97" s="35"/>
      <c r="H97" s="35"/>
      <c r="I97" s="35"/>
      <c r="J97" s="35"/>
      <c r="K97" s="35"/>
      <c r="L97" s="35"/>
      <c r="M97" s="35"/>
      <c r="N97" s="36"/>
      <c r="O97" s="35"/>
      <c r="P97" s="35"/>
      <c r="Q97" s="36"/>
      <c r="R97" s="35"/>
      <c r="S97" s="35"/>
      <c r="T97" s="36"/>
      <c r="U97" s="36"/>
      <c r="V97" s="35"/>
      <c r="W97" s="35"/>
      <c r="X97" s="35"/>
      <c r="Y97" s="35"/>
      <c r="Z97" s="34" t="str">
        <f aca="false">IF(E97="","",IF(U97&lt;&gt;"",U97-E97,README!$B$4-E97))</f>
        <v/>
      </c>
      <c r="AA97" s="34" t="str">
        <f aca="false">IF(OR(T97="",U97=""),"",IF(U97&lt;=T97,"Yes","No"))</f>
        <v/>
      </c>
    </row>
    <row r="98" customFormat="false" ht="15" hidden="false" customHeight="false" outlineLevel="0" collapsed="false">
      <c r="A98" s="34" t="str">
        <f aca="false">IF(B98="","","RCA-"&amp;TEXT(ROW()-1,"000"))</f>
        <v/>
      </c>
      <c r="B98" s="35"/>
      <c r="C98" s="35"/>
      <c r="D98" s="36"/>
      <c r="E98" s="36"/>
      <c r="F98" s="35"/>
      <c r="G98" s="35"/>
      <c r="H98" s="35"/>
      <c r="I98" s="35"/>
      <c r="J98" s="35"/>
      <c r="K98" s="35"/>
      <c r="L98" s="35"/>
      <c r="M98" s="35"/>
      <c r="N98" s="36"/>
      <c r="O98" s="35"/>
      <c r="P98" s="35"/>
      <c r="Q98" s="36"/>
      <c r="R98" s="35"/>
      <c r="S98" s="35"/>
      <c r="T98" s="36"/>
      <c r="U98" s="36"/>
      <c r="V98" s="35"/>
      <c r="W98" s="35"/>
      <c r="X98" s="35"/>
      <c r="Y98" s="35"/>
      <c r="Z98" s="34" t="str">
        <f aca="false">IF(E98="","",IF(U98&lt;&gt;"",U98-E98,README!$B$4-E98))</f>
        <v/>
      </c>
      <c r="AA98" s="34" t="str">
        <f aca="false">IF(OR(T98="",U98=""),"",IF(U98&lt;=T98,"Yes","No"))</f>
        <v/>
      </c>
    </row>
    <row r="99" customFormat="false" ht="15" hidden="false" customHeight="false" outlineLevel="0" collapsed="false">
      <c r="A99" s="34" t="str">
        <f aca="false">IF(B99="","","RCA-"&amp;TEXT(ROW()-1,"000"))</f>
        <v/>
      </c>
      <c r="B99" s="35"/>
      <c r="C99" s="35"/>
      <c r="D99" s="36"/>
      <c r="E99" s="36"/>
      <c r="F99" s="35"/>
      <c r="G99" s="35"/>
      <c r="H99" s="35"/>
      <c r="I99" s="35"/>
      <c r="J99" s="35"/>
      <c r="K99" s="35"/>
      <c r="L99" s="35"/>
      <c r="M99" s="35"/>
      <c r="N99" s="36"/>
      <c r="O99" s="35"/>
      <c r="P99" s="35"/>
      <c r="Q99" s="36"/>
      <c r="R99" s="35"/>
      <c r="S99" s="35"/>
      <c r="T99" s="36"/>
      <c r="U99" s="36"/>
      <c r="V99" s="35"/>
      <c r="W99" s="35"/>
      <c r="X99" s="35"/>
      <c r="Y99" s="35"/>
      <c r="Z99" s="34" t="str">
        <f aca="false">IF(E99="","",IF(U99&lt;&gt;"",U99-E99,README!$B$4-E99))</f>
        <v/>
      </c>
      <c r="AA99" s="34" t="str">
        <f aca="false">IF(OR(T99="",U99=""),"",IF(U99&lt;=T99,"Yes","No"))</f>
        <v/>
      </c>
    </row>
    <row r="100" customFormat="false" ht="15" hidden="false" customHeight="false" outlineLevel="0" collapsed="false">
      <c r="A100" s="34" t="str">
        <f aca="false">IF(B100="","","RCA-"&amp;TEXT(ROW()-1,"000"))</f>
        <v/>
      </c>
      <c r="B100" s="35"/>
      <c r="C100" s="35"/>
      <c r="D100" s="36"/>
      <c r="E100" s="36"/>
      <c r="F100" s="35"/>
      <c r="G100" s="35"/>
      <c r="H100" s="35"/>
      <c r="I100" s="35"/>
      <c r="J100" s="35"/>
      <c r="K100" s="35"/>
      <c r="L100" s="35"/>
      <c r="M100" s="35"/>
      <c r="N100" s="36"/>
      <c r="O100" s="35"/>
      <c r="P100" s="35"/>
      <c r="Q100" s="36"/>
      <c r="R100" s="35"/>
      <c r="S100" s="35"/>
      <c r="T100" s="36"/>
      <c r="U100" s="36"/>
      <c r="V100" s="35"/>
      <c r="W100" s="35"/>
      <c r="X100" s="35"/>
      <c r="Y100" s="35"/>
      <c r="Z100" s="34" t="str">
        <f aca="false">IF(E100="","",IF(U100&lt;&gt;"",U100-E100,README!$B$4-E100))</f>
        <v/>
      </c>
      <c r="AA100" s="34" t="str">
        <f aca="false">IF(OR(T100="",U100=""),"",IF(U100&lt;=T100,"Yes","No"))</f>
        <v/>
      </c>
    </row>
    <row r="101" customFormat="false" ht="15" hidden="false" customHeight="false" outlineLevel="0" collapsed="false">
      <c r="A101" s="34" t="str">
        <f aca="false">IF(B101="","","RCA-"&amp;TEXT(ROW()-1,"000"))</f>
        <v/>
      </c>
      <c r="B101" s="35"/>
      <c r="C101" s="35"/>
      <c r="D101" s="36"/>
      <c r="E101" s="36"/>
      <c r="F101" s="35"/>
      <c r="G101" s="35"/>
      <c r="H101" s="35"/>
      <c r="I101" s="35"/>
      <c r="J101" s="35"/>
      <c r="K101" s="35"/>
      <c r="L101" s="35"/>
      <c r="M101" s="35"/>
      <c r="N101" s="36"/>
      <c r="O101" s="35"/>
      <c r="P101" s="35"/>
      <c r="Q101" s="36"/>
      <c r="R101" s="35"/>
      <c r="S101" s="35"/>
      <c r="T101" s="36"/>
      <c r="U101" s="36"/>
      <c r="V101" s="35"/>
      <c r="W101" s="35"/>
      <c r="X101" s="35"/>
      <c r="Y101" s="35"/>
      <c r="Z101" s="34" t="str">
        <f aca="false">IF(E101="","",IF(U101&lt;&gt;"",U101-E101,README!$B$4-E101))</f>
        <v/>
      </c>
      <c r="AA101" s="34" t="str">
        <f aca="false">IF(OR(T101="",U101=""),"",IF(U101&lt;=T101,"Yes","No"))</f>
        <v/>
      </c>
    </row>
    <row r="102" customFormat="false" ht="15" hidden="false" customHeight="false" outlineLevel="0" collapsed="false">
      <c r="A102" s="34" t="str">
        <f aca="false">IF(B102="","","RCA-"&amp;TEXT(ROW()-1,"000"))</f>
        <v/>
      </c>
      <c r="B102" s="35"/>
      <c r="C102" s="35"/>
      <c r="D102" s="36"/>
      <c r="E102" s="36"/>
      <c r="F102" s="35"/>
      <c r="G102" s="35"/>
      <c r="H102" s="35"/>
      <c r="I102" s="35"/>
      <c r="J102" s="35"/>
      <c r="K102" s="35"/>
      <c r="L102" s="35"/>
      <c r="M102" s="35"/>
      <c r="N102" s="36"/>
      <c r="O102" s="35"/>
      <c r="P102" s="35"/>
      <c r="Q102" s="36"/>
      <c r="R102" s="35"/>
      <c r="S102" s="35"/>
      <c r="T102" s="36"/>
      <c r="U102" s="36"/>
      <c r="V102" s="35"/>
      <c r="W102" s="35"/>
      <c r="X102" s="35"/>
      <c r="Y102" s="35"/>
      <c r="Z102" s="34" t="str">
        <f aca="false">IF(E102="","",IF(U102&lt;&gt;"",U102-E102,README!$B$4-E102))</f>
        <v/>
      </c>
      <c r="AA102" s="34" t="str">
        <f aca="false">IF(OR(T102="",U102=""),"",IF(U102&lt;=T102,"Yes","No"))</f>
        <v/>
      </c>
    </row>
    <row r="103" customFormat="false" ht="15" hidden="false" customHeight="false" outlineLevel="0" collapsed="false">
      <c r="A103" s="34" t="str">
        <f aca="false">IF(B103="","","RCA-"&amp;TEXT(ROW()-1,"000"))</f>
        <v/>
      </c>
      <c r="B103" s="35"/>
      <c r="C103" s="35"/>
      <c r="D103" s="36"/>
      <c r="E103" s="36"/>
      <c r="F103" s="35"/>
      <c r="G103" s="35"/>
      <c r="H103" s="35"/>
      <c r="I103" s="35"/>
      <c r="J103" s="35"/>
      <c r="K103" s="35"/>
      <c r="L103" s="35"/>
      <c r="M103" s="35"/>
      <c r="N103" s="36"/>
      <c r="O103" s="35"/>
      <c r="P103" s="35"/>
      <c r="Q103" s="36"/>
      <c r="R103" s="35"/>
      <c r="S103" s="35"/>
      <c r="T103" s="36"/>
      <c r="U103" s="36"/>
      <c r="V103" s="35"/>
      <c r="W103" s="35"/>
      <c r="X103" s="35"/>
      <c r="Y103" s="35"/>
      <c r="Z103" s="34" t="str">
        <f aca="false">IF(E103="","",IF(U103&lt;&gt;"",U103-E103,README!$B$4-E103))</f>
        <v/>
      </c>
      <c r="AA103" s="34" t="str">
        <f aca="false">IF(OR(T103="",U103=""),"",IF(U103&lt;=T103,"Yes","No"))</f>
        <v/>
      </c>
    </row>
    <row r="104" customFormat="false" ht="15" hidden="false" customHeight="false" outlineLevel="0" collapsed="false">
      <c r="A104" s="34" t="str">
        <f aca="false">IF(B104="","","RCA-"&amp;TEXT(ROW()-1,"000"))</f>
        <v/>
      </c>
      <c r="B104" s="35"/>
      <c r="C104" s="35"/>
      <c r="D104" s="36"/>
      <c r="E104" s="36"/>
      <c r="F104" s="35"/>
      <c r="G104" s="35"/>
      <c r="H104" s="35"/>
      <c r="I104" s="35"/>
      <c r="J104" s="35"/>
      <c r="K104" s="35"/>
      <c r="L104" s="35"/>
      <c r="M104" s="35"/>
      <c r="N104" s="36"/>
      <c r="O104" s="35"/>
      <c r="P104" s="35"/>
      <c r="Q104" s="36"/>
      <c r="R104" s="35"/>
      <c r="S104" s="35"/>
      <c r="T104" s="36"/>
      <c r="U104" s="36"/>
      <c r="V104" s="35"/>
      <c r="W104" s="35"/>
      <c r="X104" s="35"/>
      <c r="Y104" s="35"/>
      <c r="Z104" s="34" t="str">
        <f aca="false">IF(E104="","",IF(U104&lt;&gt;"",U104-E104,README!$B$4-E104))</f>
        <v/>
      </c>
      <c r="AA104" s="34" t="str">
        <f aca="false">IF(OR(T104="",U104=""),"",IF(U104&lt;=T104,"Yes","No"))</f>
        <v/>
      </c>
    </row>
    <row r="105" customFormat="false" ht="15" hidden="false" customHeight="false" outlineLevel="0" collapsed="false">
      <c r="A105" s="34" t="str">
        <f aca="false">IF(B105="","","RCA-"&amp;TEXT(ROW()-1,"000"))</f>
        <v/>
      </c>
      <c r="B105" s="35"/>
      <c r="C105" s="35"/>
      <c r="D105" s="36"/>
      <c r="E105" s="36"/>
      <c r="F105" s="35"/>
      <c r="G105" s="35"/>
      <c r="H105" s="35"/>
      <c r="I105" s="35"/>
      <c r="J105" s="35"/>
      <c r="K105" s="35"/>
      <c r="L105" s="35"/>
      <c r="M105" s="35"/>
      <c r="N105" s="36"/>
      <c r="O105" s="35"/>
      <c r="P105" s="35"/>
      <c r="Q105" s="36"/>
      <c r="R105" s="35"/>
      <c r="S105" s="35"/>
      <c r="T105" s="36"/>
      <c r="U105" s="36"/>
      <c r="V105" s="35"/>
      <c r="W105" s="35"/>
      <c r="X105" s="35"/>
      <c r="Y105" s="35"/>
      <c r="Z105" s="34" t="str">
        <f aca="false">IF(E105="","",IF(U105&lt;&gt;"",U105-E105,README!$B$4-E105))</f>
        <v/>
      </c>
      <c r="AA105" s="34" t="str">
        <f aca="false">IF(OR(T105="",U105=""),"",IF(U105&lt;=T105,"Yes","No"))</f>
        <v/>
      </c>
    </row>
    <row r="106" customFormat="false" ht="15" hidden="false" customHeight="false" outlineLevel="0" collapsed="false">
      <c r="A106" s="34" t="str">
        <f aca="false">IF(B106="","","RCA-"&amp;TEXT(ROW()-1,"000"))</f>
        <v/>
      </c>
      <c r="B106" s="35"/>
      <c r="C106" s="35"/>
      <c r="D106" s="36"/>
      <c r="E106" s="36"/>
      <c r="F106" s="35"/>
      <c r="G106" s="35"/>
      <c r="H106" s="35"/>
      <c r="I106" s="35"/>
      <c r="J106" s="35"/>
      <c r="K106" s="35"/>
      <c r="L106" s="35"/>
      <c r="M106" s="35"/>
      <c r="N106" s="36"/>
      <c r="O106" s="35"/>
      <c r="P106" s="35"/>
      <c r="Q106" s="36"/>
      <c r="R106" s="35"/>
      <c r="S106" s="35"/>
      <c r="T106" s="36"/>
      <c r="U106" s="36"/>
      <c r="V106" s="35"/>
      <c r="W106" s="35"/>
      <c r="X106" s="35"/>
      <c r="Y106" s="35"/>
      <c r="Z106" s="34" t="str">
        <f aca="false">IF(E106="","",IF(U106&lt;&gt;"",U106-E106,README!$B$4-E106))</f>
        <v/>
      </c>
      <c r="AA106" s="34" t="str">
        <f aca="false">IF(OR(T106="",U106=""),"",IF(U106&lt;=T106,"Yes","No"))</f>
        <v/>
      </c>
    </row>
    <row r="107" customFormat="false" ht="15" hidden="false" customHeight="false" outlineLevel="0" collapsed="false">
      <c r="A107" s="34" t="str">
        <f aca="false">IF(B107="","","RCA-"&amp;TEXT(ROW()-1,"000"))</f>
        <v/>
      </c>
      <c r="B107" s="35"/>
      <c r="C107" s="35"/>
      <c r="D107" s="36"/>
      <c r="E107" s="36"/>
      <c r="F107" s="35"/>
      <c r="G107" s="35"/>
      <c r="H107" s="35"/>
      <c r="I107" s="35"/>
      <c r="J107" s="35"/>
      <c r="K107" s="35"/>
      <c r="L107" s="35"/>
      <c r="M107" s="35"/>
      <c r="N107" s="36"/>
      <c r="O107" s="35"/>
      <c r="P107" s="35"/>
      <c r="Q107" s="36"/>
      <c r="R107" s="35"/>
      <c r="S107" s="35"/>
      <c r="T107" s="36"/>
      <c r="U107" s="36"/>
      <c r="V107" s="35"/>
      <c r="W107" s="35"/>
      <c r="X107" s="35"/>
      <c r="Y107" s="35"/>
      <c r="Z107" s="34" t="str">
        <f aca="false">IF(E107="","",IF(U107&lt;&gt;"",U107-E107,README!$B$4-E107))</f>
        <v/>
      </c>
      <c r="AA107" s="34" t="str">
        <f aca="false">IF(OR(T107="",U107=""),"",IF(U107&lt;=T107,"Yes","No"))</f>
        <v/>
      </c>
    </row>
    <row r="108" customFormat="false" ht="15" hidden="false" customHeight="false" outlineLevel="0" collapsed="false">
      <c r="A108" s="34" t="str">
        <f aca="false">IF(B108="","","RCA-"&amp;TEXT(ROW()-1,"000"))</f>
        <v/>
      </c>
      <c r="B108" s="35"/>
      <c r="C108" s="35"/>
      <c r="D108" s="36"/>
      <c r="E108" s="36"/>
      <c r="F108" s="35"/>
      <c r="G108" s="35"/>
      <c r="H108" s="35"/>
      <c r="I108" s="35"/>
      <c r="J108" s="35"/>
      <c r="K108" s="35"/>
      <c r="L108" s="35"/>
      <c r="M108" s="35"/>
      <c r="N108" s="36"/>
      <c r="O108" s="35"/>
      <c r="P108" s="35"/>
      <c r="Q108" s="36"/>
      <c r="R108" s="35"/>
      <c r="S108" s="35"/>
      <c r="T108" s="36"/>
      <c r="U108" s="36"/>
      <c r="V108" s="35"/>
      <c r="W108" s="35"/>
      <c r="X108" s="35"/>
      <c r="Y108" s="35"/>
      <c r="Z108" s="34" t="str">
        <f aca="false">IF(E108="","",IF(U108&lt;&gt;"",U108-E108,README!$B$4-E108))</f>
        <v/>
      </c>
      <c r="AA108" s="34" t="str">
        <f aca="false">IF(OR(T108="",U108=""),"",IF(U108&lt;=T108,"Yes","No"))</f>
        <v/>
      </c>
    </row>
    <row r="109" customFormat="false" ht="15" hidden="false" customHeight="false" outlineLevel="0" collapsed="false">
      <c r="A109" s="34" t="str">
        <f aca="false">IF(B109="","","RCA-"&amp;TEXT(ROW()-1,"000"))</f>
        <v/>
      </c>
      <c r="B109" s="35"/>
      <c r="C109" s="35"/>
      <c r="D109" s="36"/>
      <c r="E109" s="36"/>
      <c r="F109" s="35"/>
      <c r="G109" s="35"/>
      <c r="H109" s="35"/>
      <c r="I109" s="35"/>
      <c r="J109" s="35"/>
      <c r="K109" s="35"/>
      <c r="L109" s="35"/>
      <c r="M109" s="35"/>
      <c r="N109" s="36"/>
      <c r="O109" s="35"/>
      <c r="P109" s="35"/>
      <c r="Q109" s="36"/>
      <c r="R109" s="35"/>
      <c r="S109" s="35"/>
      <c r="T109" s="36"/>
      <c r="U109" s="36"/>
      <c r="V109" s="35"/>
      <c r="W109" s="35"/>
      <c r="X109" s="35"/>
      <c r="Y109" s="35"/>
      <c r="Z109" s="34" t="str">
        <f aca="false">IF(E109="","",IF(U109&lt;&gt;"",U109-E109,README!$B$4-E109))</f>
        <v/>
      </c>
      <c r="AA109" s="34" t="str">
        <f aca="false">IF(OR(T109="",U109=""),"",IF(U109&lt;=T109,"Yes","No"))</f>
        <v/>
      </c>
    </row>
    <row r="110" customFormat="false" ht="15" hidden="false" customHeight="false" outlineLevel="0" collapsed="false">
      <c r="A110" s="34" t="str">
        <f aca="false">IF(B110="","","RCA-"&amp;TEXT(ROW()-1,"000"))</f>
        <v/>
      </c>
      <c r="B110" s="35"/>
      <c r="C110" s="35"/>
      <c r="D110" s="36"/>
      <c r="E110" s="36"/>
      <c r="F110" s="35"/>
      <c r="G110" s="35"/>
      <c r="H110" s="35"/>
      <c r="I110" s="35"/>
      <c r="J110" s="35"/>
      <c r="K110" s="35"/>
      <c r="L110" s="35"/>
      <c r="M110" s="35"/>
      <c r="N110" s="36"/>
      <c r="O110" s="35"/>
      <c r="P110" s="35"/>
      <c r="Q110" s="36"/>
      <c r="R110" s="35"/>
      <c r="S110" s="35"/>
      <c r="T110" s="36"/>
      <c r="U110" s="36"/>
      <c r="V110" s="35"/>
      <c r="W110" s="35"/>
      <c r="X110" s="35"/>
      <c r="Y110" s="35"/>
      <c r="Z110" s="34" t="str">
        <f aca="false">IF(E110="","",IF(U110&lt;&gt;"",U110-E110,README!$B$4-E110))</f>
        <v/>
      </c>
      <c r="AA110" s="34" t="str">
        <f aca="false">IF(OR(T110="",U110=""),"",IF(U110&lt;=T110,"Yes","No"))</f>
        <v/>
      </c>
    </row>
    <row r="111" customFormat="false" ht="15" hidden="false" customHeight="false" outlineLevel="0" collapsed="false">
      <c r="A111" s="34" t="str">
        <f aca="false">IF(B111="","","RCA-"&amp;TEXT(ROW()-1,"000"))</f>
        <v/>
      </c>
      <c r="B111" s="35"/>
      <c r="C111" s="35"/>
      <c r="D111" s="36"/>
      <c r="E111" s="36"/>
      <c r="F111" s="35"/>
      <c r="G111" s="35"/>
      <c r="H111" s="35"/>
      <c r="I111" s="35"/>
      <c r="J111" s="35"/>
      <c r="K111" s="35"/>
      <c r="L111" s="35"/>
      <c r="M111" s="35"/>
      <c r="N111" s="36"/>
      <c r="O111" s="35"/>
      <c r="P111" s="35"/>
      <c r="Q111" s="36"/>
      <c r="R111" s="35"/>
      <c r="S111" s="35"/>
      <c r="T111" s="36"/>
      <c r="U111" s="36"/>
      <c r="V111" s="35"/>
      <c r="W111" s="35"/>
      <c r="X111" s="35"/>
      <c r="Y111" s="35"/>
      <c r="Z111" s="34" t="str">
        <f aca="false">IF(E111="","",IF(U111&lt;&gt;"",U111-E111,README!$B$4-E111))</f>
        <v/>
      </c>
      <c r="AA111" s="34" t="str">
        <f aca="false">IF(OR(T111="",U111=""),"",IF(U111&lt;=T111,"Yes","No"))</f>
        <v/>
      </c>
    </row>
    <row r="112" customFormat="false" ht="15" hidden="false" customHeight="false" outlineLevel="0" collapsed="false">
      <c r="A112" s="34" t="str">
        <f aca="false">IF(B112="","","RCA-"&amp;TEXT(ROW()-1,"000"))</f>
        <v/>
      </c>
      <c r="B112" s="35"/>
      <c r="C112" s="35"/>
      <c r="D112" s="36"/>
      <c r="E112" s="36"/>
      <c r="F112" s="35"/>
      <c r="G112" s="35"/>
      <c r="H112" s="35"/>
      <c r="I112" s="35"/>
      <c r="J112" s="35"/>
      <c r="K112" s="35"/>
      <c r="L112" s="35"/>
      <c r="M112" s="35"/>
      <c r="N112" s="36"/>
      <c r="O112" s="35"/>
      <c r="P112" s="35"/>
      <c r="Q112" s="36"/>
      <c r="R112" s="35"/>
      <c r="S112" s="35"/>
      <c r="T112" s="36"/>
      <c r="U112" s="36"/>
      <c r="V112" s="35"/>
      <c r="W112" s="35"/>
      <c r="X112" s="35"/>
      <c r="Y112" s="35"/>
      <c r="Z112" s="34" t="str">
        <f aca="false">IF(E112="","",IF(U112&lt;&gt;"",U112-E112,README!$B$4-E112))</f>
        <v/>
      </c>
      <c r="AA112" s="34" t="str">
        <f aca="false">IF(OR(T112="",U112=""),"",IF(U112&lt;=T112,"Yes","No"))</f>
        <v/>
      </c>
    </row>
    <row r="113" customFormat="false" ht="15" hidden="false" customHeight="false" outlineLevel="0" collapsed="false">
      <c r="A113" s="34" t="str">
        <f aca="false">IF(B113="","","RCA-"&amp;TEXT(ROW()-1,"000"))</f>
        <v/>
      </c>
      <c r="B113" s="35"/>
      <c r="C113" s="35"/>
      <c r="D113" s="36"/>
      <c r="E113" s="36"/>
      <c r="F113" s="35"/>
      <c r="G113" s="35"/>
      <c r="H113" s="35"/>
      <c r="I113" s="35"/>
      <c r="J113" s="35"/>
      <c r="K113" s="35"/>
      <c r="L113" s="35"/>
      <c r="M113" s="35"/>
      <c r="N113" s="36"/>
      <c r="O113" s="35"/>
      <c r="P113" s="35"/>
      <c r="Q113" s="36"/>
      <c r="R113" s="35"/>
      <c r="S113" s="35"/>
      <c r="T113" s="36"/>
      <c r="U113" s="36"/>
      <c r="V113" s="35"/>
      <c r="W113" s="35"/>
      <c r="X113" s="35"/>
      <c r="Y113" s="35"/>
      <c r="Z113" s="34" t="str">
        <f aca="false">IF(E113="","",IF(U113&lt;&gt;"",U113-E113,README!$B$4-E113))</f>
        <v/>
      </c>
      <c r="AA113" s="34" t="str">
        <f aca="false">IF(OR(T113="",U113=""),"",IF(U113&lt;=T113,"Yes","No"))</f>
        <v/>
      </c>
    </row>
    <row r="114" customFormat="false" ht="15" hidden="false" customHeight="false" outlineLevel="0" collapsed="false">
      <c r="A114" s="34" t="str">
        <f aca="false">IF(B114="","","RCA-"&amp;TEXT(ROW()-1,"000"))</f>
        <v/>
      </c>
      <c r="B114" s="35"/>
      <c r="C114" s="35"/>
      <c r="D114" s="36"/>
      <c r="E114" s="36"/>
      <c r="F114" s="35"/>
      <c r="G114" s="35"/>
      <c r="H114" s="35"/>
      <c r="I114" s="35"/>
      <c r="J114" s="35"/>
      <c r="K114" s="35"/>
      <c r="L114" s="35"/>
      <c r="M114" s="35"/>
      <c r="N114" s="36"/>
      <c r="O114" s="35"/>
      <c r="P114" s="35"/>
      <c r="Q114" s="36"/>
      <c r="R114" s="35"/>
      <c r="S114" s="35"/>
      <c r="T114" s="36"/>
      <c r="U114" s="36"/>
      <c r="V114" s="35"/>
      <c r="W114" s="35"/>
      <c r="X114" s="35"/>
      <c r="Y114" s="35"/>
      <c r="Z114" s="34" t="str">
        <f aca="false">IF(E114="","",IF(U114&lt;&gt;"",U114-E114,README!$B$4-E114))</f>
        <v/>
      </c>
      <c r="AA114" s="34" t="str">
        <f aca="false">IF(OR(T114="",U114=""),"",IF(U114&lt;=T114,"Yes","No"))</f>
        <v/>
      </c>
    </row>
    <row r="115" customFormat="false" ht="15" hidden="false" customHeight="false" outlineLevel="0" collapsed="false">
      <c r="A115" s="34" t="str">
        <f aca="false">IF(B115="","","RCA-"&amp;TEXT(ROW()-1,"000"))</f>
        <v/>
      </c>
      <c r="B115" s="35"/>
      <c r="C115" s="35"/>
      <c r="D115" s="36"/>
      <c r="E115" s="36"/>
      <c r="F115" s="35"/>
      <c r="G115" s="35"/>
      <c r="H115" s="35"/>
      <c r="I115" s="35"/>
      <c r="J115" s="35"/>
      <c r="K115" s="35"/>
      <c r="L115" s="35"/>
      <c r="M115" s="35"/>
      <c r="N115" s="36"/>
      <c r="O115" s="35"/>
      <c r="P115" s="35"/>
      <c r="Q115" s="36"/>
      <c r="R115" s="35"/>
      <c r="S115" s="35"/>
      <c r="T115" s="36"/>
      <c r="U115" s="36"/>
      <c r="V115" s="35"/>
      <c r="W115" s="35"/>
      <c r="X115" s="35"/>
      <c r="Y115" s="35"/>
      <c r="Z115" s="34" t="str">
        <f aca="false">IF(E115="","",IF(U115&lt;&gt;"",U115-E115,README!$B$4-E115))</f>
        <v/>
      </c>
      <c r="AA115" s="34" t="str">
        <f aca="false">IF(OR(T115="",U115=""),"",IF(U115&lt;=T115,"Yes","No"))</f>
        <v/>
      </c>
    </row>
    <row r="116" customFormat="false" ht="15" hidden="false" customHeight="false" outlineLevel="0" collapsed="false">
      <c r="A116" s="34" t="str">
        <f aca="false">IF(B116="","","RCA-"&amp;TEXT(ROW()-1,"000"))</f>
        <v/>
      </c>
      <c r="B116" s="35"/>
      <c r="C116" s="35"/>
      <c r="D116" s="36"/>
      <c r="E116" s="36"/>
      <c r="F116" s="35"/>
      <c r="G116" s="35"/>
      <c r="H116" s="35"/>
      <c r="I116" s="35"/>
      <c r="J116" s="35"/>
      <c r="K116" s="35"/>
      <c r="L116" s="35"/>
      <c r="M116" s="35"/>
      <c r="N116" s="36"/>
      <c r="O116" s="35"/>
      <c r="P116" s="35"/>
      <c r="Q116" s="36"/>
      <c r="R116" s="35"/>
      <c r="S116" s="35"/>
      <c r="T116" s="36"/>
      <c r="U116" s="36"/>
      <c r="V116" s="35"/>
      <c r="W116" s="35"/>
      <c r="X116" s="35"/>
      <c r="Y116" s="35"/>
      <c r="Z116" s="34" t="str">
        <f aca="false">IF(E116="","",IF(U116&lt;&gt;"",U116-E116,README!$B$4-E116))</f>
        <v/>
      </c>
      <c r="AA116" s="34" t="str">
        <f aca="false">IF(OR(T116="",U116=""),"",IF(U116&lt;=T116,"Yes","No"))</f>
        <v/>
      </c>
    </row>
    <row r="117" customFormat="false" ht="15" hidden="false" customHeight="false" outlineLevel="0" collapsed="false">
      <c r="A117" s="34" t="str">
        <f aca="false">IF(B117="","","RCA-"&amp;TEXT(ROW()-1,"000"))</f>
        <v/>
      </c>
      <c r="B117" s="35"/>
      <c r="C117" s="35"/>
      <c r="D117" s="36"/>
      <c r="E117" s="36"/>
      <c r="F117" s="35"/>
      <c r="G117" s="35"/>
      <c r="H117" s="35"/>
      <c r="I117" s="35"/>
      <c r="J117" s="35"/>
      <c r="K117" s="35"/>
      <c r="L117" s="35"/>
      <c r="M117" s="35"/>
      <c r="N117" s="36"/>
      <c r="O117" s="35"/>
      <c r="P117" s="35"/>
      <c r="Q117" s="36"/>
      <c r="R117" s="35"/>
      <c r="S117" s="35"/>
      <c r="T117" s="36"/>
      <c r="U117" s="36"/>
      <c r="V117" s="35"/>
      <c r="W117" s="35"/>
      <c r="X117" s="35"/>
      <c r="Y117" s="35"/>
      <c r="Z117" s="34" t="str">
        <f aca="false">IF(E117="","",IF(U117&lt;&gt;"",U117-E117,README!$B$4-E117))</f>
        <v/>
      </c>
      <c r="AA117" s="34" t="str">
        <f aca="false">IF(OR(T117="",U117=""),"",IF(U117&lt;=T117,"Yes","No"))</f>
        <v/>
      </c>
    </row>
    <row r="118" customFormat="false" ht="15" hidden="false" customHeight="false" outlineLevel="0" collapsed="false">
      <c r="A118" s="34" t="str">
        <f aca="false">IF(B118="","","RCA-"&amp;TEXT(ROW()-1,"000"))</f>
        <v/>
      </c>
      <c r="B118" s="35"/>
      <c r="C118" s="35"/>
      <c r="D118" s="36"/>
      <c r="E118" s="36"/>
      <c r="F118" s="35"/>
      <c r="G118" s="35"/>
      <c r="H118" s="35"/>
      <c r="I118" s="35"/>
      <c r="J118" s="35"/>
      <c r="K118" s="35"/>
      <c r="L118" s="35"/>
      <c r="M118" s="35"/>
      <c r="N118" s="36"/>
      <c r="O118" s="35"/>
      <c r="P118" s="35"/>
      <c r="Q118" s="36"/>
      <c r="R118" s="35"/>
      <c r="S118" s="35"/>
      <c r="T118" s="36"/>
      <c r="U118" s="36"/>
      <c r="V118" s="35"/>
      <c r="W118" s="35"/>
      <c r="X118" s="35"/>
      <c r="Y118" s="35"/>
      <c r="Z118" s="34" t="str">
        <f aca="false">IF(E118="","",IF(U118&lt;&gt;"",U118-E118,README!$B$4-E118))</f>
        <v/>
      </c>
      <c r="AA118" s="34" t="str">
        <f aca="false">IF(OR(T118="",U118=""),"",IF(U118&lt;=T118,"Yes","No"))</f>
        <v/>
      </c>
    </row>
    <row r="119" customFormat="false" ht="15" hidden="false" customHeight="false" outlineLevel="0" collapsed="false">
      <c r="A119" s="34" t="str">
        <f aca="false">IF(B119="","","RCA-"&amp;TEXT(ROW()-1,"000"))</f>
        <v/>
      </c>
      <c r="B119" s="35"/>
      <c r="C119" s="35"/>
      <c r="D119" s="36"/>
      <c r="E119" s="36"/>
      <c r="F119" s="35"/>
      <c r="G119" s="35"/>
      <c r="H119" s="35"/>
      <c r="I119" s="35"/>
      <c r="J119" s="35"/>
      <c r="K119" s="35"/>
      <c r="L119" s="35"/>
      <c r="M119" s="35"/>
      <c r="N119" s="36"/>
      <c r="O119" s="35"/>
      <c r="P119" s="35"/>
      <c r="Q119" s="36"/>
      <c r="R119" s="35"/>
      <c r="S119" s="35"/>
      <c r="T119" s="36"/>
      <c r="U119" s="36"/>
      <c r="V119" s="35"/>
      <c r="W119" s="35"/>
      <c r="X119" s="35"/>
      <c r="Y119" s="35"/>
      <c r="Z119" s="34" t="str">
        <f aca="false">IF(E119="","",IF(U119&lt;&gt;"",U119-E119,README!$B$4-E119))</f>
        <v/>
      </c>
      <c r="AA119" s="34" t="str">
        <f aca="false">IF(OR(T119="",U119=""),"",IF(U119&lt;=T119,"Yes","No"))</f>
        <v/>
      </c>
    </row>
    <row r="120" customFormat="false" ht="15" hidden="false" customHeight="false" outlineLevel="0" collapsed="false">
      <c r="A120" s="34" t="str">
        <f aca="false">IF(B120="","","RCA-"&amp;TEXT(ROW()-1,"000"))</f>
        <v/>
      </c>
      <c r="B120" s="35"/>
      <c r="C120" s="35"/>
      <c r="D120" s="36"/>
      <c r="E120" s="36"/>
      <c r="F120" s="35"/>
      <c r="G120" s="35"/>
      <c r="H120" s="35"/>
      <c r="I120" s="35"/>
      <c r="J120" s="35"/>
      <c r="K120" s="35"/>
      <c r="L120" s="35"/>
      <c r="M120" s="35"/>
      <c r="N120" s="36"/>
      <c r="O120" s="35"/>
      <c r="P120" s="35"/>
      <c r="Q120" s="36"/>
      <c r="R120" s="35"/>
      <c r="S120" s="35"/>
      <c r="T120" s="36"/>
      <c r="U120" s="36"/>
      <c r="V120" s="35"/>
      <c r="W120" s="35"/>
      <c r="X120" s="35"/>
      <c r="Y120" s="35"/>
      <c r="Z120" s="34" t="str">
        <f aca="false">IF(E120="","",IF(U120&lt;&gt;"",U120-E120,README!$B$4-E120))</f>
        <v/>
      </c>
      <c r="AA120" s="34" t="str">
        <f aca="false">IF(OR(T120="",U120=""),"",IF(U120&lt;=T120,"Yes","No"))</f>
        <v/>
      </c>
    </row>
    <row r="121" customFormat="false" ht="15" hidden="false" customHeight="false" outlineLevel="0" collapsed="false">
      <c r="A121" s="34" t="str">
        <f aca="false">IF(B121="","","RCA-"&amp;TEXT(ROW()-1,"000"))</f>
        <v/>
      </c>
      <c r="B121" s="35"/>
      <c r="C121" s="35"/>
      <c r="D121" s="36"/>
      <c r="E121" s="36"/>
      <c r="F121" s="35"/>
      <c r="G121" s="35"/>
      <c r="H121" s="35"/>
      <c r="I121" s="35"/>
      <c r="J121" s="35"/>
      <c r="K121" s="35"/>
      <c r="L121" s="35"/>
      <c r="M121" s="35"/>
      <c r="N121" s="36"/>
      <c r="O121" s="35"/>
      <c r="P121" s="35"/>
      <c r="Q121" s="36"/>
      <c r="R121" s="35"/>
      <c r="S121" s="35"/>
      <c r="T121" s="36"/>
      <c r="U121" s="36"/>
      <c r="V121" s="35"/>
      <c r="W121" s="35"/>
      <c r="X121" s="35"/>
      <c r="Y121" s="35"/>
      <c r="Z121" s="34" t="str">
        <f aca="false">IF(E121="","",IF(U121&lt;&gt;"",U121-E121,README!$B$4-E121))</f>
        <v/>
      </c>
      <c r="AA121" s="34" t="str">
        <f aca="false">IF(OR(T121="",U121=""),"",IF(U121&lt;=T121,"Yes","No"))</f>
        <v/>
      </c>
    </row>
    <row r="122" customFormat="false" ht="15" hidden="false" customHeight="false" outlineLevel="0" collapsed="false">
      <c r="A122" s="34" t="str">
        <f aca="false">IF(B122="","","RCA-"&amp;TEXT(ROW()-1,"000"))</f>
        <v/>
      </c>
      <c r="B122" s="35"/>
      <c r="C122" s="35"/>
      <c r="D122" s="36"/>
      <c r="E122" s="36"/>
      <c r="F122" s="35"/>
      <c r="G122" s="35"/>
      <c r="H122" s="35"/>
      <c r="I122" s="35"/>
      <c r="J122" s="35"/>
      <c r="K122" s="35"/>
      <c r="L122" s="35"/>
      <c r="M122" s="35"/>
      <c r="N122" s="36"/>
      <c r="O122" s="35"/>
      <c r="P122" s="35"/>
      <c r="Q122" s="36"/>
      <c r="R122" s="35"/>
      <c r="S122" s="35"/>
      <c r="T122" s="36"/>
      <c r="U122" s="36"/>
      <c r="V122" s="35"/>
      <c r="W122" s="35"/>
      <c r="X122" s="35"/>
      <c r="Y122" s="35"/>
      <c r="Z122" s="34" t="str">
        <f aca="false">IF(E122="","",IF(U122&lt;&gt;"",U122-E122,README!$B$4-E122))</f>
        <v/>
      </c>
      <c r="AA122" s="34" t="str">
        <f aca="false">IF(OR(T122="",U122=""),"",IF(U122&lt;=T122,"Yes","No"))</f>
        <v/>
      </c>
    </row>
    <row r="123" customFormat="false" ht="15" hidden="false" customHeight="false" outlineLevel="0" collapsed="false">
      <c r="A123" s="34" t="str">
        <f aca="false">IF(B123="","","RCA-"&amp;TEXT(ROW()-1,"000"))</f>
        <v/>
      </c>
      <c r="B123" s="35"/>
      <c r="C123" s="35"/>
      <c r="D123" s="36"/>
      <c r="E123" s="36"/>
      <c r="F123" s="35"/>
      <c r="G123" s="35"/>
      <c r="H123" s="35"/>
      <c r="I123" s="35"/>
      <c r="J123" s="35"/>
      <c r="K123" s="35"/>
      <c r="L123" s="35"/>
      <c r="M123" s="35"/>
      <c r="N123" s="36"/>
      <c r="O123" s="35"/>
      <c r="P123" s="35"/>
      <c r="Q123" s="36"/>
      <c r="R123" s="35"/>
      <c r="S123" s="35"/>
      <c r="T123" s="36"/>
      <c r="U123" s="36"/>
      <c r="V123" s="35"/>
      <c r="W123" s="35"/>
      <c r="X123" s="35"/>
      <c r="Y123" s="35"/>
      <c r="Z123" s="34" t="str">
        <f aca="false">IF(E123="","",IF(U123&lt;&gt;"",U123-E123,README!$B$4-E123))</f>
        <v/>
      </c>
      <c r="AA123" s="34" t="str">
        <f aca="false">IF(OR(T123="",U123=""),"",IF(U123&lt;=T123,"Yes","No"))</f>
        <v/>
      </c>
    </row>
    <row r="124" customFormat="false" ht="15" hidden="false" customHeight="false" outlineLevel="0" collapsed="false">
      <c r="A124" s="34" t="str">
        <f aca="false">IF(B124="","","RCA-"&amp;TEXT(ROW()-1,"000"))</f>
        <v/>
      </c>
      <c r="B124" s="35"/>
      <c r="C124" s="35"/>
      <c r="D124" s="36"/>
      <c r="E124" s="36"/>
      <c r="F124" s="35"/>
      <c r="G124" s="35"/>
      <c r="H124" s="35"/>
      <c r="I124" s="35"/>
      <c r="J124" s="35"/>
      <c r="K124" s="35"/>
      <c r="L124" s="35"/>
      <c r="M124" s="35"/>
      <c r="N124" s="36"/>
      <c r="O124" s="35"/>
      <c r="P124" s="35"/>
      <c r="Q124" s="36"/>
      <c r="R124" s="35"/>
      <c r="S124" s="35"/>
      <c r="T124" s="36"/>
      <c r="U124" s="36"/>
      <c r="V124" s="35"/>
      <c r="W124" s="35"/>
      <c r="X124" s="35"/>
      <c r="Y124" s="35"/>
      <c r="Z124" s="34" t="str">
        <f aca="false">IF(E124="","",IF(U124&lt;&gt;"",U124-E124,README!$B$4-E124))</f>
        <v/>
      </c>
      <c r="AA124" s="34" t="str">
        <f aca="false">IF(OR(T124="",U124=""),"",IF(U124&lt;=T124,"Yes","No"))</f>
        <v/>
      </c>
    </row>
    <row r="125" customFormat="false" ht="15" hidden="false" customHeight="false" outlineLevel="0" collapsed="false">
      <c r="A125" s="34" t="str">
        <f aca="false">IF(B125="","","RCA-"&amp;TEXT(ROW()-1,"000"))</f>
        <v/>
      </c>
      <c r="B125" s="35"/>
      <c r="C125" s="35"/>
      <c r="D125" s="36"/>
      <c r="E125" s="36"/>
      <c r="F125" s="35"/>
      <c r="G125" s="35"/>
      <c r="H125" s="35"/>
      <c r="I125" s="35"/>
      <c r="J125" s="35"/>
      <c r="K125" s="35"/>
      <c r="L125" s="35"/>
      <c r="M125" s="35"/>
      <c r="N125" s="36"/>
      <c r="O125" s="35"/>
      <c r="P125" s="35"/>
      <c r="Q125" s="36"/>
      <c r="R125" s="35"/>
      <c r="S125" s="35"/>
      <c r="T125" s="36"/>
      <c r="U125" s="36"/>
      <c r="V125" s="35"/>
      <c r="W125" s="35"/>
      <c r="X125" s="35"/>
      <c r="Y125" s="35"/>
      <c r="Z125" s="34" t="str">
        <f aca="false">IF(E125="","",IF(U125&lt;&gt;"",U125-E125,README!$B$4-E125))</f>
        <v/>
      </c>
      <c r="AA125" s="34" t="str">
        <f aca="false">IF(OR(T125="",U125=""),"",IF(U125&lt;=T125,"Yes","No"))</f>
        <v/>
      </c>
    </row>
    <row r="126" customFormat="false" ht="15" hidden="false" customHeight="false" outlineLevel="0" collapsed="false">
      <c r="A126" s="34" t="str">
        <f aca="false">IF(B126="","","RCA-"&amp;TEXT(ROW()-1,"000"))</f>
        <v/>
      </c>
      <c r="B126" s="35"/>
      <c r="C126" s="35"/>
      <c r="D126" s="36"/>
      <c r="E126" s="36"/>
      <c r="F126" s="35"/>
      <c r="G126" s="35"/>
      <c r="H126" s="35"/>
      <c r="I126" s="35"/>
      <c r="J126" s="35"/>
      <c r="K126" s="35"/>
      <c r="L126" s="35"/>
      <c r="M126" s="35"/>
      <c r="N126" s="36"/>
      <c r="O126" s="35"/>
      <c r="P126" s="35"/>
      <c r="Q126" s="36"/>
      <c r="R126" s="35"/>
      <c r="S126" s="35"/>
      <c r="T126" s="36"/>
      <c r="U126" s="36"/>
      <c r="V126" s="35"/>
      <c r="W126" s="35"/>
      <c r="X126" s="35"/>
      <c r="Y126" s="35"/>
      <c r="Z126" s="34" t="str">
        <f aca="false">IF(E126="","",IF(U126&lt;&gt;"",U126-E126,README!$B$4-E126))</f>
        <v/>
      </c>
      <c r="AA126" s="34" t="str">
        <f aca="false">IF(OR(T126="",U126=""),"",IF(U126&lt;=T126,"Yes","No"))</f>
        <v/>
      </c>
    </row>
    <row r="127" customFormat="false" ht="15" hidden="false" customHeight="false" outlineLevel="0" collapsed="false">
      <c r="A127" s="34" t="str">
        <f aca="false">IF(B127="","","RCA-"&amp;TEXT(ROW()-1,"000"))</f>
        <v/>
      </c>
      <c r="B127" s="35"/>
      <c r="C127" s="35"/>
      <c r="D127" s="36"/>
      <c r="E127" s="36"/>
      <c r="F127" s="35"/>
      <c r="G127" s="35"/>
      <c r="H127" s="35"/>
      <c r="I127" s="35"/>
      <c r="J127" s="35"/>
      <c r="K127" s="35"/>
      <c r="L127" s="35"/>
      <c r="M127" s="35"/>
      <c r="N127" s="36"/>
      <c r="O127" s="35"/>
      <c r="P127" s="35"/>
      <c r="Q127" s="36"/>
      <c r="R127" s="35"/>
      <c r="S127" s="35"/>
      <c r="T127" s="36"/>
      <c r="U127" s="36"/>
      <c r="V127" s="35"/>
      <c r="W127" s="35"/>
      <c r="X127" s="35"/>
      <c r="Y127" s="35"/>
      <c r="Z127" s="34" t="str">
        <f aca="false">IF(E127="","",IF(U127&lt;&gt;"",U127-E127,README!$B$4-E127))</f>
        <v/>
      </c>
      <c r="AA127" s="34" t="str">
        <f aca="false">IF(OR(T127="",U127=""),"",IF(U127&lt;=T127,"Yes","No"))</f>
        <v/>
      </c>
    </row>
    <row r="128" customFormat="false" ht="15" hidden="false" customHeight="false" outlineLevel="0" collapsed="false">
      <c r="A128" s="34" t="str">
        <f aca="false">IF(B128="","","RCA-"&amp;TEXT(ROW()-1,"000"))</f>
        <v/>
      </c>
      <c r="B128" s="35"/>
      <c r="C128" s="35"/>
      <c r="D128" s="36"/>
      <c r="E128" s="36"/>
      <c r="F128" s="35"/>
      <c r="G128" s="35"/>
      <c r="H128" s="35"/>
      <c r="I128" s="35"/>
      <c r="J128" s="35"/>
      <c r="K128" s="35"/>
      <c r="L128" s="35"/>
      <c r="M128" s="35"/>
      <c r="N128" s="36"/>
      <c r="O128" s="35"/>
      <c r="P128" s="35"/>
      <c r="Q128" s="36"/>
      <c r="R128" s="35"/>
      <c r="S128" s="35"/>
      <c r="T128" s="36"/>
      <c r="U128" s="36"/>
      <c r="V128" s="35"/>
      <c r="W128" s="35"/>
      <c r="X128" s="35"/>
      <c r="Y128" s="35"/>
      <c r="Z128" s="34" t="str">
        <f aca="false">IF(E128="","",IF(U128&lt;&gt;"",U128-E128,README!$B$4-E128))</f>
        <v/>
      </c>
      <c r="AA128" s="34" t="str">
        <f aca="false">IF(OR(T128="",U128=""),"",IF(U128&lt;=T128,"Yes","No"))</f>
        <v/>
      </c>
    </row>
    <row r="129" customFormat="false" ht="15" hidden="false" customHeight="false" outlineLevel="0" collapsed="false">
      <c r="A129" s="34" t="str">
        <f aca="false">IF(B129="","","RCA-"&amp;TEXT(ROW()-1,"000"))</f>
        <v/>
      </c>
      <c r="B129" s="35"/>
      <c r="C129" s="35"/>
      <c r="D129" s="36"/>
      <c r="E129" s="36"/>
      <c r="F129" s="35"/>
      <c r="G129" s="35"/>
      <c r="H129" s="35"/>
      <c r="I129" s="35"/>
      <c r="J129" s="35"/>
      <c r="K129" s="35"/>
      <c r="L129" s="35"/>
      <c r="M129" s="35"/>
      <c r="N129" s="36"/>
      <c r="O129" s="35"/>
      <c r="P129" s="35"/>
      <c r="Q129" s="36"/>
      <c r="R129" s="35"/>
      <c r="S129" s="35"/>
      <c r="T129" s="36"/>
      <c r="U129" s="36"/>
      <c r="V129" s="35"/>
      <c r="W129" s="35"/>
      <c r="X129" s="35"/>
      <c r="Y129" s="35"/>
      <c r="Z129" s="34" t="str">
        <f aca="false">IF(E129="","",IF(U129&lt;&gt;"",U129-E129,README!$B$4-E129))</f>
        <v/>
      </c>
      <c r="AA129" s="34" t="str">
        <f aca="false">IF(OR(T129="",U129=""),"",IF(U129&lt;=T129,"Yes","No"))</f>
        <v/>
      </c>
    </row>
    <row r="130" customFormat="false" ht="15" hidden="false" customHeight="false" outlineLevel="0" collapsed="false">
      <c r="A130" s="34" t="str">
        <f aca="false">IF(B130="","","RCA-"&amp;TEXT(ROW()-1,"000"))</f>
        <v/>
      </c>
      <c r="B130" s="35"/>
      <c r="C130" s="35"/>
      <c r="D130" s="36"/>
      <c r="E130" s="36"/>
      <c r="F130" s="35"/>
      <c r="G130" s="35"/>
      <c r="H130" s="35"/>
      <c r="I130" s="35"/>
      <c r="J130" s="35"/>
      <c r="K130" s="35"/>
      <c r="L130" s="35"/>
      <c r="M130" s="35"/>
      <c r="N130" s="36"/>
      <c r="O130" s="35"/>
      <c r="P130" s="35"/>
      <c r="Q130" s="36"/>
      <c r="R130" s="35"/>
      <c r="S130" s="35"/>
      <c r="T130" s="36"/>
      <c r="U130" s="36"/>
      <c r="V130" s="35"/>
      <c r="W130" s="35"/>
      <c r="X130" s="35"/>
      <c r="Y130" s="35"/>
      <c r="Z130" s="34" t="str">
        <f aca="false">IF(E130="","",IF(U130&lt;&gt;"",U130-E130,README!$B$4-E130))</f>
        <v/>
      </c>
      <c r="AA130" s="34" t="str">
        <f aca="false">IF(OR(T130="",U130=""),"",IF(U130&lt;=T130,"Yes","No"))</f>
        <v/>
      </c>
    </row>
    <row r="131" customFormat="false" ht="15" hidden="false" customHeight="false" outlineLevel="0" collapsed="false">
      <c r="A131" s="34" t="str">
        <f aca="false">IF(B131="","","RCA-"&amp;TEXT(ROW()-1,"000"))</f>
        <v/>
      </c>
      <c r="B131" s="35"/>
      <c r="C131" s="35"/>
      <c r="D131" s="36"/>
      <c r="E131" s="36"/>
      <c r="F131" s="35"/>
      <c r="G131" s="35"/>
      <c r="H131" s="35"/>
      <c r="I131" s="35"/>
      <c r="J131" s="35"/>
      <c r="K131" s="35"/>
      <c r="L131" s="35"/>
      <c r="M131" s="35"/>
      <c r="N131" s="36"/>
      <c r="O131" s="35"/>
      <c r="P131" s="35"/>
      <c r="Q131" s="36"/>
      <c r="R131" s="35"/>
      <c r="S131" s="35"/>
      <c r="T131" s="36"/>
      <c r="U131" s="36"/>
      <c r="V131" s="35"/>
      <c r="W131" s="35"/>
      <c r="X131" s="35"/>
      <c r="Y131" s="35"/>
      <c r="Z131" s="34" t="str">
        <f aca="false">IF(E131="","",IF(U131&lt;&gt;"",U131-E131,README!$B$4-E131))</f>
        <v/>
      </c>
      <c r="AA131" s="34" t="str">
        <f aca="false">IF(OR(T131="",U131=""),"",IF(U131&lt;=T131,"Yes","No"))</f>
        <v/>
      </c>
    </row>
    <row r="132" customFormat="false" ht="15" hidden="false" customHeight="false" outlineLevel="0" collapsed="false">
      <c r="A132" s="34" t="str">
        <f aca="false">IF(B132="","","RCA-"&amp;TEXT(ROW()-1,"000"))</f>
        <v/>
      </c>
      <c r="B132" s="35"/>
      <c r="C132" s="35"/>
      <c r="D132" s="36"/>
      <c r="E132" s="36"/>
      <c r="F132" s="35"/>
      <c r="G132" s="35"/>
      <c r="H132" s="35"/>
      <c r="I132" s="35"/>
      <c r="J132" s="35"/>
      <c r="K132" s="35"/>
      <c r="L132" s="35"/>
      <c r="M132" s="35"/>
      <c r="N132" s="36"/>
      <c r="O132" s="35"/>
      <c r="P132" s="35"/>
      <c r="Q132" s="36"/>
      <c r="R132" s="35"/>
      <c r="S132" s="35"/>
      <c r="T132" s="36"/>
      <c r="U132" s="36"/>
      <c r="V132" s="35"/>
      <c r="W132" s="35"/>
      <c r="X132" s="35"/>
      <c r="Y132" s="35"/>
      <c r="Z132" s="34" t="str">
        <f aca="false">IF(E132="","",IF(U132&lt;&gt;"",U132-E132,README!$B$4-E132))</f>
        <v/>
      </c>
      <c r="AA132" s="34" t="str">
        <f aca="false">IF(OR(T132="",U132=""),"",IF(U132&lt;=T132,"Yes","No"))</f>
        <v/>
      </c>
    </row>
    <row r="133" customFormat="false" ht="15" hidden="false" customHeight="false" outlineLevel="0" collapsed="false">
      <c r="A133" s="34" t="str">
        <f aca="false">IF(B133="","","RCA-"&amp;TEXT(ROW()-1,"000"))</f>
        <v/>
      </c>
      <c r="B133" s="35"/>
      <c r="C133" s="35"/>
      <c r="D133" s="36"/>
      <c r="E133" s="36"/>
      <c r="F133" s="35"/>
      <c r="G133" s="35"/>
      <c r="H133" s="35"/>
      <c r="I133" s="35"/>
      <c r="J133" s="35"/>
      <c r="K133" s="35"/>
      <c r="L133" s="35"/>
      <c r="M133" s="35"/>
      <c r="N133" s="36"/>
      <c r="O133" s="35"/>
      <c r="P133" s="35"/>
      <c r="Q133" s="36"/>
      <c r="R133" s="35"/>
      <c r="S133" s="35"/>
      <c r="T133" s="36"/>
      <c r="U133" s="36"/>
      <c r="V133" s="35"/>
      <c r="W133" s="35"/>
      <c r="X133" s="35"/>
      <c r="Y133" s="35"/>
      <c r="Z133" s="34" t="str">
        <f aca="false">IF(E133="","",IF(U133&lt;&gt;"",U133-E133,README!$B$4-E133))</f>
        <v/>
      </c>
      <c r="AA133" s="34" t="str">
        <f aca="false">IF(OR(T133="",U133=""),"",IF(U133&lt;=T133,"Yes","No"))</f>
        <v/>
      </c>
    </row>
    <row r="134" customFormat="false" ht="15" hidden="false" customHeight="false" outlineLevel="0" collapsed="false">
      <c r="A134" s="34" t="str">
        <f aca="false">IF(B134="","","RCA-"&amp;TEXT(ROW()-1,"000"))</f>
        <v/>
      </c>
      <c r="B134" s="35"/>
      <c r="C134" s="35"/>
      <c r="D134" s="36"/>
      <c r="E134" s="36"/>
      <c r="F134" s="35"/>
      <c r="G134" s="35"/>
      <c r="H134" s="35"/>
      <c r="I134" s="35"/>
      <c r="J134" s="35"/>
      <c r="K134" s="35"/>
      <c r="L134" s="35"/>
      <c r="M134" s="35"/>
      <c r="N134" s="36"/>
      <c r="O134" s="35"/>
      <c r="P134" s="35"/>
      <c r="Q134" s="36"/>
      <c r="R134" s="35"/>
      <c r="S134" s="35"/>
      <c r="T134" s="36"/>
      <c r="U134" s="36"/>
      <c r="V134" s="35"/>
      <c r="W134" s="35"/>
      <c r="X134" s="35"/>
      <c r="Y134" s="35"/>
      <c r="Z134" s="34" t="str">
        <f aca="false">IF(E134="","",IF(U134&lt;&gt;"",U134-E134,README!$B$4-E134))</f>
        <v/>
      </c>
      <c r="AA134" s="34" t="str">
        <f aca="false">IF(OR(T134="",U134=""),"",IF(U134&lt;=T134,"Yes","No"))</f>
        <v/>
      </c>
    </row>
    <row r="135" customFormat="false" ht="15" hidden="false" customHeight="false" outlineLevel="0" collapsed="false">
      <c r="A135" s="34" t="str">
        <f aca="false">IF(B135="","","RCA-"&amp;TEXT(ROW()-1,"000"))</f>
        <v/>
      </c>
      <c r="B135" s="35"/>
      <c r="C135" s="35"/>
      <c r="D135" s="36"/>
      <c r="E135" s="36"/>
      <c r="F135" s="35"/>
      <c r="G135" s="35"/>
      <c r="H135" s="35"/>
      <c r="I135" s="35"/>
      <c r="J135" s="35"/>
      <c r="K135" s="35"/>
      <c r="L135" s="35"/>
      <c r="M135" s="35"/>
      <c r="N135" s="36"/>
      <c r="O135" s="35"/>
      <c r="P135" s="35"/>
      <c r="Q135" s="36"/>
      <c r="R135" s="35"/>
      <c r="S135" s="35"/>
      <c r="T135" s="36"/>
      <c r="U135" s="36"/>
      <c r="V135" s="35"/>
      <c r="W135" s="35"/>
      <c r="X135" s="35"/>
      <c r="Y135" s="35"/>
      <c r="Z135" s="34" t="str">
        <f aca="false">IF(E135="","",IF(U135&lt;&gt;"",U135-E135,README!$B$4-E135))</f>
        <v/>
      </c>
      <c r="AA135" s="34" t="str">
        <f aca="false">IF(OR(T135="",U135=""),"",IF(U135&lt;=T135,"Yes","No"))</f>
        <v/>
      </c>
    </row>
    <row r="136" customFormat="false" ht="15" hidden="false" customHeight="false" outlineLevel="0" collapsed="false">
      <c r="A136" s="34" t="str">
        <f aca="false">IF(B136="","","RCA-"&amp;TEXT(ROW()-1,"000"))</f>
        <v/>
      </c>
      <c r="B136" s="35"/>
      <c r="C136" s="35"/>
      <c r="D136" s="36"/>
      <c r="E136" s="36"/>
      <c r="F136" s="35"/>
      <c r="G136" s="35"/>
      <c r="H136" s="35"/>
      <c r="I136" s="35"/>
      <c r="J136" s="35"/>
      <c r="K136" s="35"/>
      <c r="L136" s="35"/>
      <c r="M136" s="35"/>
      <c r="N136" s="36"/>
      <c r="O136" s="35"/>
      <c r="P136" s="35"/>
      <c r="Q136" s="36"/>
      <c r="R136" s="35"/>
      <c r="S136" s="35"/>
      <c r="T136" s="36"/>
      <c r="U136" s="36"/>
      <c r="V136" s="35"/>
      <c r="W136" s="35"/>
      <c r="X136" s="35"/>
      <c r="Y136" s="35"/>
      <c r="Z136" s="34" t="str">
        <f aca="false">IF(E136="","",IF(U136&lt;&gt;"",U136-E136,README!$B$4-E136))</f>
        <v/>
      </c>
      <c r="AA136" s="34" t="str">
        <f aca="false">IF(OR(T136="",U136=""),"",IF(U136&lt;=T136,"Yes","No"))</f>
        <v/>
      </c>
    </row>
    <row r="137" customFormat="false" ht="15" hidden="false" customHeight="false" outlineLevel="0" collapsed="false">
      <c r="A137" s="34" t="str">
        <f aca="false">IF(B137="","","RCA-"&amp;TEXT(ROW()-1,"000"))</f>
        <v/>
      </c>
      <c r="B137" s="35"/>
      <c r="C137" s="35"/>
      <c r="D137" s="36"/>
      <c r="E137" s="36"/>
      <c r="F137" s="35"/>
      <c r="G137" s="35"/>
      <c r="H137" s="35"/>
      <c r="I137" s="35"/>
      <c r="J137" s="35"/>
      <c r="K137" s="35"/>
      <c r="L137" s="35"/>
      <c r="M137" s="35"/>
      <c r="N137" s="36"/>
      <c r="O137" s="35"/>
      <c r="P137" s="35"/>
      <c r="Q137" s="36"/>
      <c r="R137" s="35"/>
      <c r="S137" s="35"/>
      <c r="T137" s="36"/>
      <c r="U137" s="36"/>
      <c r="V137" s="35"/>
      <c r="W137" s="35"/>
      <c r="X137" s="35"/>
      <c r="Y137" s="35"/>
      <c r="Z137" s="34" t="str">
        <f aca="false">IF(E137="","",IF(U137&lt;&gt;"",U137-E137,README!$B$4-E137))</f>
        <v/>
      </c>
      <c r="AA137" s="34" t="str">
        <f aca="false">IF(OR(T137="",U137=""),"",IF(U137&lt;=T137,"Yes","No"))</f>
        <v/>
      </c>
    </row>
    <row r="138" customFormat="false" ht="15" hidden="false" customHeight="false" outlineLevel="0" collapsed="false">
      <c r="A138" s="34" t="str">
        <f aca="false">IF(B138="","","RCA-"&amp;TEXT(ROW()-1,"000"))</f>
        <v/>
      </c>
      <c r="B138" s="35"/>
      <c r="C138" s="35"/>
      <c r="D138" s="36"/>
      <c r="E138" s="36"/>
      <c r="F138" s="35"/>
      <c r="G138" s="35"/>
      <c r="H138" s="35"/>
      <c r="I138" s="35"/>
      <c r="J138" s="35"/>
      <c r="K138" s="35"/>
      <c r="L138" s="35"/>
      <c r="M138" s="35"/>
      <c r="N138" s="36"/>
      <c r="O138" s="35"/>
      <c r="P138" s="35"/>
      <c r="Q138" s="36"/>
      <c r="R138" s="35"/>
      <c r="S138" s="35"/>
      <c r="T138" s="36"/>
      <c r="U138" s="36"/>
      <c r="V138" s="35"/>
      <c r="W138" s="35"/>
      <c r="X138" s="35"/>
      <c r="Y138" s="35"/>
      <c r="Z138" s="34" t="str">
        <f aca="false">IF(E138="","",IF(U138&lt;&gt;"",U138-E138,README!$B$4-E138))</f>
        <v/>
      </c>
      <c r="AA138" s="34" t="str">
        <f aca="false">IF(OR(T138="",U138=""),"",IF(U138&lt;=T138,"Yes","No"))</f>
        <v/>
      </c>
    </row>
    <row r="139" customFormat="false" ht="15" hidden="false" customHeight="false" outlineLevel="0" collapsed="false">
      <c r="A139" s="34" t="str">
        <f aca="false">IF(B139="","","RCA-"&amp;TEXT(ROW()-1,"000"))</f>
        <v/>
      </c>
      <c r="B139" s="35"/>
      <c r="C139" s="35"/>
      <c r="D139" s="36"/>
      <c r="E139" s="36"/>
      <c r="F139" s="35"/>
      <c r="G139" s="35"/>
      <c r="H139" s="35"/>
      <c r="I139" s="35"/>
      <c r="J139" s="35"/>
      <c r="K139" s="35"/>
      <c r="L139" s="35"/>
      <c r="M139" s="35"/>
      <c r="N139" s="36"/>
      <c r="O139" s="35"/>
      <c r="P139" s="35"/>
      <c r="Q139" s="36"/>
      <c r="R139" s="35"/>
      <c r="S139" s="35"/>
      <c r="T139" s="36"/>
      <c r="U139" s="36"/>
      <c r="V139" s="35"/>
      <c r="W139" s="35"/>
      <c r="X139" s="35"/>
      <c r="Y139" s="35"/>
      <c r="Z139" s="34" t="str">
        <f aca="false">IF(E139="","",IF(U139&lt;&gt;"",U139-E139,README!$B$4-E139))</f>
        <v/>
      </c>
      <c r="AA139" s="34" t="str">
        <f aca="false">IF(OR(T139="",U139=""),"",IF(U139&lt;=T139,"Yes","No"))</f>
        <v/>
      </c>
    </row>
    <row r="140" customFormat="false" ht="15" hidden="false" customHeight="false" outlineLevel="0" collapsed="false">
      <c r="A140" s="34" t="str">
        <f aca="false">IF(B140="","","RCA-"&amp;TEXT(ROW()-1,"000"))</f>
        <v/>
      </c>
      <c r="B140" s="35"/>
      <c r="C140" s="35"/>
      <c r="D140" s="36"/>
      <c r="E140" s="36"/>
      <c r="F140" s="35"/>
      <c r="G140" s="35"/>
      <c r="H140" s="35"/>
      <c r="I140" s="35"/>
      <c r="J140" s="35"/>
      <c r="K140" s="35"/>
      <c r="L140" s="35"/>
      <c r="M140" s="35"/>
      <c r="N140" s="36"/>
      <c r="O140" s="35"/>
      <c r="P140" s="35"/>
      <c r="Q140" s="36"/>
      <c r="R140" s="35"/>
      <c r="S140" s="35"/>
      <c r="T140" s="36"/>
      <c r="U140" s="36"/>
      <c r="V140" s="35"/>
      <c r="W140" s="35"/>
      <c r="X140" s="35"/>
      <c r="Y140" s="35"/>
      <c r="Z140" s="34" t="str">
        <f aca="false">IF(E140="","",IF(U140&lt;&gt;"",U140-E140,README!$B$4-E140))</f>
        <v/>
      </c>
      <c r="AA140" s="34" t="str">
        <f aca="false">IF(OR(T140="",U140=""),"",IF(U140&lt;=T140,"Yes","No"))</f>
        <v/>
      </c>
    </row>
    <row r="141" customFormat="false" ht="15" hidden="false" customHeight="false" outlineLevel="0" collapsed="false">
      <c r="A141" s="34" t="str">
        <f aca="false">IF(B141="","","RCA-"&amp;TEXT(ROW()-1,"000"))</f>
        <v/>
      </c>
      <c r="B141" s="35"/>
      <c r="C141" s="35"/>
      <c r="D141" s="36"/>
      <c r="E141" s="36"/>
      <c r="F141" s="35"/>
      <c r="G141" s="35"/>
      <c r="H141" s="35"/>
      <c r="I141" s="35"/>
      <c r="J141" s="35"/>
      <c r="K141" s="35"/>
      <c r="L141" s="35"/>
      <c r="M141" s="35"/>
      <c r="N141" s="36"/>
      <c r="O141" s="35"/>
      <c r="P141" s="35"/>
      <c r="Q141" s="36"/>
      <c r="R141" s="35"/>
      <c r="S141" s="35"/>
      <c r="T141" s="36"/>
      <c r="U141" s="36"/>
      <c r="V141" s="35"/>
      <c r="W141" s="35"/>
      <c r="X141" s="35"/>
      <c r="Y141" s="35"/>
      <c r="Z141" s="34" t="str">
        <f aca="false">IF(E141="","",IF(U141&lt;&gt;"",U141-E141,README!$B$4-E141))</f>
        <v/>
      </c>
      <c r="AA141" s="34" t="str">
        <f aca="false">IF(OR(T141="",U141=""),"",IF(U141&lt;=T141,"Yes","No"))</f>
        <v/>
      </c>
    </row>
    <row r="142" customFormat="false" ht="15" hidden="false" customHeight="false" outlineLevel="0" collapsed="false">
      <c r="A142" s="34" t="str">
        <f aca="false">IF(B142="","","RCA-"&amp;TEXT(ROW()-1,"000"))</f>
        <v/>
      </c>
      <c r="B142" s="35"/>
      <c r="C142" s="35"/>
      <c r="D142" s="36"/>
      <c r="E142" s="36"/>
      <c r="F142" s="35"/>
      <c r="G142" s="35"/>
      <c r="H142" s="35"/>
      <c r="I142" s="35"/>
      <c r="J142" s="35"/>
      <c r="K142" s="35"/>
      <c r="L142" s="35"/>
      <c r="M142" s="35"/>
      <c r="N142" s="36"/>
      <c r="O142" s="35"/>
      <c r="P142" s="35"/>
      <c r="Q142" s="36"/>
      <c r="R142" s="35"/>
      <c r="S142" s="35"/>
      <c r="T142" s="36"/>
      <c r="U142" s="36"/>
      <c r="V142" s="35"/>
      <c r="W142" s="35"/>
      <c r="X142" s="35"/>
      <c r="Y142" s="35"/>
      <c r="Z142" s="34" t="str">
        <f aca="false">IF(E142="","",IF(U142&lt;&gt;"",U142-E142,README!$B$4-E142))</f>
        <v/>
      </c>
      <c r="AA142" s="34" t="str">
        <f aca="false">IF(OR(T142="",U142=""),"",IF(U142&lt;=T142,"Yes","No"))</f>
        <v/>
      </c>
    </row>
    <row r="143" customFormat="false" ht="15" hidden="false" customHeight="false" outlineLevel="0" collapsed="false">
      <c r="A143" s="34" t="str">
        <f aca="false">IF(B143="","","RCA-"&amp;TEXT(ROW()-1,"000"))</f>
        <v/>
      </c>
      <c r="B143" s="35"/>
      <c r="C143" s="35"/>
      <c r="D143" s="36"/>
      <c r="E143" s="36"/>
      <c r="F143" s="35"/>
      <c r="G143" s="35"/>
      <c r="H143" s="35"/>
      <c r="I143" s="35"/>
      <c r="J143" s="35"/>
      <c r="K143" s="35"/>
      <c r="L143" s="35"/>
      <c r="M143" s="35"/>
      <c r="N143" s="36"/>
      <c r="O143" s="35"/>
      <c r="P143" s="35"/>
      <c r="Q143" s="36"/>
      <c r="R143" s="35"/>
      <c r="S143" s="35"/>
      <c r="T143" s="36"/>
      <c r="U143" s="36"/>
      <c r="V143" s="35"/>
      <c r="W143" s="35"/>
      <c r="X143" s="35"/>
      <c r="Y143" s="35"/>
      <c r="Z143" s="34" t="str">
        <f aca="false">IF(E143="","",IF(U143&lt;&gt;"",U143-E143,README!$B$4-E143))</f>
        <v/>
      </c>
      <c r="AA143" s="34" t="str">
        <f aca="false">IF(OR(T143="",U143=""),"",IF(U143&lt;=T143,"Yes","No"))</f>
        <v/>
      </c>
    </row>
    <row r="144" customFormat="false" ht="15" hidden="false" customHeight="false" outlineLevel="0" collapsed="false">
      <c r="A144" s="34" t="str">
        <f aca="false">IF(B144="","","RCA-"&amp;TEXT(ROW()-1,"000"))</f>
        <v/>
      </c>
      <c r="B144" s="35"/>
      <c r="C144" s="35"/>
      <c r="D144" s="36"/>
      <c r="E144" s="36"/>
      <c r="F144" s="35"/>
      <c r="G144" s="35"/>
      <c r="H144" s="35"/>
      <c r="I144" s="35"/>
      <c r="J144" s="35"/>
      <c r="K144" s="35"/>
      <c r="L144" s="35"/>
      <c r="M144" s="35"/>
      <c r="N144" s="36"/>
      <c r="O144" s="35"/>
      <c r="P144" s="35"/>
      <c r="Q144" s="36"/>
      <c r="R144" s="35"/>
      <c r="S144" s="35"/>
      <c r="T144" s="36"/>
      <c r="U144" s="36"/>
      <c r="V144" s="35"/>
      <c r="W144" s="35"/>
      <c r="X144" s="35"/>
      <c r="Y144" s="35"/>
      <c r="Z144" s="34" t="str">
        <f aca="false">IF(E144="","",IF(U144&lt;&gt;"",U144-E144,README!$B$4-E144))</f>
        <v/>
      </c>
      <c r="AA144" s="34" t="str">
        <f aca="false">IF(OR(T144="",U144=""),"",IF(U144&lt;=T144,"Yes","No"))</f>
        <v/>
      </c>
    </row>
    <row r="145" customFormat="false" ht="15" hidden="false" customHeight="false" outlineLevel="0" collapsed="false">
      <c r="A145" s="34" t="str">
        <f aca="false">IF(B145="","","RCA-"&amp;TEXT(ROW()-1,"000"))</f>
        <v/>
      </c>
      <c r="B145" s="35"/>
      <c r="C145" s="35"/>
      <c r="D145" s="36"/>
      <c r="E145" s="36"/>
      <c r="F145" s="35"/>
      <c r="G145" s="35"/>
      <c r="H145" s="35"/>
      <c r="I145" s="35"/>
      <c r="J145" s="35"/>
      <c r="K145" s="35"/>
      <c r="L145" s="35"/>
      <c r="M145" s="35"/>
      <c r="N145" s="36"/>
      <c r="O145" s="35"/>
      <c r="P145" s="35"/>
      <c r="Q145" s="36"/>
      <c r="R145" s="35"/>
      <c r="S145" s="35"/>
      <c r="T145" s="36"/>
      <c r="U145" s="36"/>
      <c r="V145" s="35"/>
      <c r="W145" s="35"/>
      <c r="X145" s="35"/>
      <c r="Y145" s="35"/>
      <c r="Z145" s="34" t="str">
        <f aca="false">IF(E145="","",IF(U145&lt;&gt;"",U145-E145,README!$B$4-E145))</f>
        <v/>
      </c>
      <c r="AA145" s="34" t="str">
        <f aca="false">IF(OR(T145="",U145=""),"",IF(U145&lt;=T145,"Yes","No"))</f>
        <v/>
      </c>
    </row>
    <row r="146" customFormat="false" ht="15" hidden="false" customHeight="false" outlineLevel="0" collapsed="false">
      <c r="A146" s="34" t="str">
        <f aca="false">IF(B146="","","RCA-"&amp;TEXT(ROW()-1,"000"))</f>
        <v/>
      </c>
      <c r="B146" s="35"/>
      <c r="C146" s="35"/>
      <c r="D146" s="36"/>
      <c r="E146" s="36"/>
      <c r="F146" s="35"/>
      <c r="G146" s="35"/>
      <c r="H146" s="35"/>
      <c r="I146" s="35"/>
      <c r="J146" s="35"/>
      <c r="K146" s="35"/>
      <c r="L146" s="35"/>
      <c r="M146" s="35"/>
      <c r="N146" s="36"/>
      <c r="O146" s="35"/>
      <c r="P146" s="35"/>
      <c r="Q146" s="36"/>
      <c r="R146" s="35"/>
      <c r="S146" s="35"/>
      <c r="T146" s="36"/>
      <c r="U146" s="36"/>
      <c r="V146" s="35"/>
      <c r="W146" s="35"/>
      <c r="X146" s="35"/>
      <c r="Y146" s="35"/>
      <c r="Z146" s="34" t="str">
        <f aca="false">IF(E146="","",IF(U146&lt;&gt;"",U146-E146,README!$B$4-E146))</f>
        <v/>
      </c>
      <c r="AA146" s="34" t="str">
        <f aca="false">IF(OR(T146="",U146=""),"",IF(U146&lt;=T146,"Yes","No"))</f>
        <v/>
      </c>
    </row>
    <row r="147" customFormat="false" ht="15" hidden="false" customHeight="false" outlineLevel="0" collapsed="false">
      <c r="A147" s="34" t="str">
        <f aca="false">IF(B147="","","RCA-"&amp;TEXT(ROW()-1,"000"))</f>
        <v/>
      </c>
      <c r="B147" s="35"/>
      <c r="C147" s="35"/>
      <c r="D147" s="36"/>
      <c r="E147" s="36"/>
      <c r="F147" s="35"/>
      <c r="G147" s="35"/>
      <c r="H147" s="35"/>
      <c r="I147" s="35"/>
      <c r="J147" s="35"/>
      <c r="K147" s="35"/>
      <c r="L147" s="35"/>
      <c r="M147" s="35"/>
      <c r="N147" s="36"/>
      <c r="O147" s="35"/>
      <c r="P147" s="35"/>
      <c r="Q147" s="36"/>
      <c r="R147" s="35"/>
      <c r="S147" s="35"/>
      <c r="T147" s="36"/>
      <c r="U147" s="36"/>
      <c r="V147" s="35"/>
      <c r="W147" s="35"/>
      <c r="X147" s="35"/>
      <c r="Y147" s="35"/>
      <c r="Z147" s="34" t="str">
        <f aca="false">IF(E147="","",IF(U147&lt;&gt;"",U147-E147,README!$B$4-E147))</f>
        <v/>
      </c>
      <c r="AA147" s="34" t="str">
        <f aca="false">IF(OR(T147="",U147=""),"",IF(U147&lt;=T147,"Yes","No"))</f>
        <v/>
      </c>
    </row>
    <row r="148" customFormat="false" ht="15" hidden="false" customHeight="false" outlineLevel="0" collapsed="false">
      <c r="A148" s="34" t="str">
        <f aca="false">IF(B148="","","RCA-"&amp;TEXT(ROW()-1,"000"))</f>
        <v/>
      </c>
      <c r="B148" s="35"/>
      <c r="C148" s="35"/>
      <c r="D148" s="36"/>
      <c r="E148" s="36"/>
      <c r="F148" s="35"/>
      <c r="G148" s="35"/>
      <c r="H148" s="35"/>
      <c r="I148" s="35"/>
      <c r="J148" s="35"/>
      <c r="K148" s="35"/>
      <c r="L148" s="35"/>
      <c r="M148" s="35"/>
      <c r="N148" s="36"/>
      <c r="O148" s="35"/>
      <c r="P148" s="35"/>
      <c r="Q148" s="36"/>
      <c r="R148" s="35"/>
      <c r="S148" s="35"/>
      <c r="T148" s="36"/>
      <c r="U148" s="36"/>
      <c r="V148" s="35"/>
      <c r="W148" s="35"/>
      <c r="X148" s="35"/>
      <c r="Y148" s="35"/>
      <c r="Z148" s="34" t="str">
        <f aca="false">IF(E148="","",IF(U148&lt;&gt;"",U148-E148,README!$B$4-E148))</f>
        <v/>
      </c>
      <c r="AA148" s="34" t="str">
        <f aca="false">IF(OR(T148="",U148=""),"",IF(U148&lt;=T148,"Yes","No"))</f>
        <v/>
      </c>
    </row>
    <row r="149" customFormat="false" ht="15" hidden="false" customHeight="false" outlineLevel="0" collapsed="false">
      <c r="A149" s="34" t="str">
        <f aca="false">IF(B149="","","RCA-"&amp;TEXT(ROW()-1,"000"))</f>
        <v/>
      </c>
      <c r="B149" s="35"/>
      <c r="C149" s="35"/>
      <c r="D149" s="36"/>
      <c r="E149" s="36"/>
      <c r="F149" s="35"/>
      <c r="G149" s="35"/>
      <c r="H149" s="35"/>
      <c r="I149" s="35"/>
      <c r="J149" s="35"/>
      <c r="K149" s="35"/>
      <c r="L149" s="35"/>
      <c r="M149" s="35"/>
      <c r="N149" s="36"/>
      <c r="O149" s="35"/>
      <c r="P149" s="35"/>
      <c r="Q149" s="36"/>
      <c r="R149" s="35"/>
      <c r="S149" s="35"/>
      <c r="T149" s="36"/>
      <c r="U149" s="36"/>
      <c r="V149" s="35"/>
      <c r="W149" s="35"/>
      <c r="X149" s="35"/>
      <c r="Y149" s="35"/>
      <c r="Z149" s="34" t="str">
        <f aca="false">IF(E149="","",IF(U149&lt;&gt;"",U149-E149,README!$B$4-E149))</f>
        <v/>
      </c>
      <c r="AA149" s="34" t="str">
        <f aca="false">IF(OR(T149="",U149=""),"",IF(U149&lt;=T149,"Yes","No"))</f>
        <v/>
      </c>
    </row>
    <row r="150" customFormat="false" ht="15" hidden="false" customHeight="false" outlineLevel="0" collapsed="false">
      <c r="A150" s="34" t="str">
        <f aca="false">IF(B150="","","RCA-"&amp;TEXT(ROW()-1,"000"))</f>
        <v/>
      </c>
      <c r="B150" s="35"/>
      <c r="C150" s="35"/>
      <c r="D150" s="36"/>
      <c r="E150" s="36"/>
      <c r="F150" s="35"/>
      <c r="G150" s="35"/>
      <c r="H150" s="35"/>
      <c r="I150" s="35"/>
      <c r="J150" s="35"/>
      <c r="K150" s="35"/>
      <c r="L150" s="35"/>
      <c r="M150" s="35"/>
      <c r="N150" s="36"/>
      <c r="O150" s="35"/>
      <c r="P150" s="35"/>
      <c r="Q150" s="36"/>
      <c r="R150" s="35"/>
      <c r="S150" s="35"/>
      <c r="T150" s="36"/>
      <c r="U150" s="36"/>
      <c r="V150" s="35"/>
      <c r="W150" s="35"/>
      <c r="X150" s="35"/>
      <c r="Y150" s="35"/>
      <c r="Z150" s="34" t="str">
        <f aca="false">IF(E150="","",IF(U150&lt;&gt;"",U150-E150,README!$B$4-E150))</f>
        <v/>
      </c>
      <c r="AA150" s="34" t="str">
        <f aca="false">IF(OR(T150="",U150=""),"",IF(U150&lt;=T150,"Yes","No"))</f>
        <v/>
      </c>
    </row>
    <row r="151" customFormat="false" ht="15" hidden="false" customHeight="false" outlineLevel="0" collapsed="false">
      <c r="A151" s="34" t="str">
        <f aca="false">IF(B151="","","RCA-"&amp;TEXT(ROW()-1,"000"))</f>
        <v/>
      </c>
      <c r="B151" s="35"/>
      <c r="C151" s="35"/>
      <c r="D151" s="36"/>
      <c r="E151" s="36"/>
      <c r="F151" s="35"/>
      <c r="G151" s="35"/>
      <c r="H151" s="35"/>
      <c r="I151" s="35"/>
      <c r="J151" s="35"/>
      <c r="K151" s="35"/>
      <c r="L151" s="35"/>
      <c r="M151" s="35"/>
      <c r="N151" s="36"/>
      <c r="O151" s="35"/>
      <c r="P151" s="35"/>
      <c r="Q151" s="36"/>
      <c r="R151" s="35"/>
      <c r="S151" s="35"/>
      <c r="T151" s="36"/>
      <c r="U151" s="36"/>
      <c r="V151" s="35"/>
      <c r="W151" s="35"/>
      <c r="X151" s="35"/>
      <c r="Y151" s="35"/>
      <c r="Z151" s="34" t="str">
        <f aca="false">IF(E151="","",IF(U151&lt;&gt;"",U151-E151,README!$B$4-E151))</f>
        <v/>
      </c>
      <c r="AA151" s="34" t="str">
        <f aca="false">IF(OR(T151="",U151=""),"",IF(U151&lt;=T151,"Yes","No"))</f>
        <v/>
      </c>
    </row>
    <row r="152" customFormat="false" ht="15" hidden="false" customHeight="false" outlineLevel="0" collapsed="false">
      <c r="A152" s="34" t="str">
        <f aca="false">IF(B152="","","RCA-"&amp;TEXT(ROW()-1,"000"))</f>
        <v/>
      </c>
      <c r="B152" s="35"/>
      <c r="C152" s="35"/>
      <c r="D152" s="36"/>
      <c r="E152" s="36"/>
      <c r="F152" s="35"/>
      <c r="G152" s="35"/>
      <c r="H152" s="35"/>
      <c r="I152" s="35"/>
      <c r="J152" s="35"/>
      <c r="K152" s="35"/>
      <c r="L152" s="35"/>
      <c r="M152" s="35"/>
      <c r="N152" s="36"/>
      <c r="O152" s="35"/>
      <c r="P152" s="35"/>
      <c r="Q152" s="36"/>
      <c r="R152" s="35"/>
      <c r="S152" s="35"/>
      <c r="T152" s="36"/>
      <c r="U152" s="36"/>
      <c r="V152" s="35"/>
      <c r="W152" s="35"/>
      <c r="X152" s="35"/>
      <c r="Y152" s="35"/>
      <c r="Z152" s="34" t="str">
        <f aca="false">IF(E152="","",IF(U152&lt;&gt;"",U152-E152,README!$B$4-E152))</f>
        <v/>
      </c>
      <c r="AA152" s="34" t="str">
        <f aca="false">IF(OR(T152="",U152=""),"",IF(U152&lt;=T152,"Yes","No"))</f>
        <v/>
      </c>
    </row>
    <row r="153" customFormat="false" ht="15" hidden="false" customHeight="false" outlineLevel="0" collapsed="false">
      <c r="A153" s="34" t="str">
        <f aca="false">IF(B153="","","RCA-"&amp;TEXT(ROW()-1,"000"))</f>
        <v/>
      </c>
      <c r="B153" s="35"/>
      <c r="C153" s="35"/>
      <c r="D153" s="36"/>
      <c r="E153" s="36"/>
      <c r="F153" s="35"/>
      <c r="G153" s="35"/>
      <c r="H153" s="35"/>
      <c r="I153" s="35"/>
      <c r="J153" s="35"/>
      <c r="K153" s="35"/>
      <c r="L153" s="35"/>
      <c r="M153" s="35"/>
      <c r="N153" s="36"/>
      <c r="O153" s="35"/>
      <c r="P153" s="35"/>
      <c r="Q153" s="36"/>
      <c r="R153" s="35"/>
      <c r="S153" s="35"/>
      <c r="T153" s="36"/>
      <c r="U153" s="36"/>
      <c r="V153" s="35"/>
      <c r="W153" s="35"/>
      <c r="X153" s="35"/>
      <c r="Y153" s="35"/>
      <c r="Z153" s="34" t="str">
        <f aca="false">IF(E153="","",IF(U153&lt;&gt;"",U153-E153,README!$B$4-E153))</f>
        <v/>
      </c>
      <c r="AA153" s="34" t="str">
        <f aca="false">IF(OR(T153="",U153=""),"",IF(U153&lt;=T153,"Yes","No"))</f>
        <v/>
      </c>
    </row>
    <row r="154" customFormat="false" ht="15" hidden="false" customHeight="false" outlineLevel="0" collapsed="false">
      <c r="A154" s="34" t="str">
        <f aca="false">IF(B154="","","RCA-"&amp;TEXT(ROW()-1,"000"))</f>
        <v/>
      </c>
      <c r="B154" s="35"/>
      <c r="C154" s="35"/>
      <c r="D154" s="36"/>
      <c r="E154" s="36"/>
      <c r="F154" s="35"/>
      <c r="G154" s="35"/>
      <c r="H154" s="35"/>
      <c r="I154" s="35"/>
      <c r="J154" s="35"/>
      <c r="K154" s="35"/>
      <c r="L154" s="35"/>
      <c r="M154" s="35"/>
      <c r="N154" s="36"/>
      <c r="O154" s="35"/>
      <c r="P154" s="35"/>
      <c r="Q154" s="36"/>
      <c r="R154" s="35"/>
      <c r="S154" s="35"/>
      <c r="T154" s="36"/>
      <c r="U154" s="36"/>
      <c r="V154" s="35"/>
      <c r="W154" s="35"/>
      <c r="X154" s="35"/>
      <c r="Y154" s="35"/>
      <c r="Z154" s="34" t="str">
        <f aca="false">IF(E154="","",IF(U154&lt;&gt;"",U154-E154,README!$B$4-E154))</f>
        <v/>
      </c>
      <c r="AA154" s="34" t="str">
        <f aca="false">IF(OR(T154="",U154=""),"",IF(U154&lt;=T154,"Yes","No"))</f>
        <v/>
      </c>
    </row>
    <row r="155" customFormat="false" ht="15" hidden="false" customHeight="false" outlineLevel="0" collapsed="false">
      <c r="A155" s="34" t="str">
        <f aca="false">IF(B155="","","RCA-"&amp;TEXT(ROW()-1,"000"))</f>
        <v/>
      </c>
      <c r="B155" s="35"/>
      <c r="C155" s="35"/>
      <c r="D155" s="36"/>
      <c r="E155" s="36"/>
      <c r="F155" s="35"/>
      <c r="G155" s="35"/>
      <c r="H155" s="35"/>
      <c r="I155" s="35"/>
      <c r="J155" s="35"/>
      <c r="K155" s="35"/>
      <c r="L155" s="35"/>
      <c r="M155" s="35"/>
      <c r="N155" s="36"/>
      <c r="O155" s="35"/>
      <c r="P155" s="35"/>
      <c r="Q155" s="36"/>
      <c r="R155" s="35"/>
      <c r="S155" s="35"/>
      <c r="T155" s="36"/>
      <c r="U155" s="36"/>
      <c r="V155" s="35"/>
      <c r="W155" s="35"/>
      <c r="X155" s="35"/>
      <c r="Y155" s="35"/>
      <c r="Z155" s="34" t="str">
        <f aca="false">IF(E155="","",IF(U155&lt;&gt;"",U155-E155,README!$B$4-E155))</f>
        <v/>
      </c>
      <c r="AA155" s="34" t="str">
        <f aca="false">IF(OR(T155="",U155=""),"",IF(U155&lt;=T155,"Yes","No"))</f>
        <v/>
      </c>
    </row>
    <row r="156" customFormat="false" ht="15" hidden="false" customHeight="false" outlineLevel="0" collapsed="false">
      <c r="A156" s="34" t="str">
        <f aca="false">IF(B156="","","RCA-"&amp;TEXT(ROW()-1,"000"))</f>
        <v/>
      </c>
      <c r="B156" s="35"/>
      <c r="C156" s="35"/>
      <c r="D156" s="36"/>
      <c r="E156" s="36"/>
      <c r="F156" s="35"/>
      <c r="G156" s="35"/>
      <c r="H156" s="35"/>
      <c r="I156" s="35"/>
      <c r="J156" s="35"/>
      <c r="K156" s="35"/>
      <c r="L156" s="35"/>
      <c r="M156" s="35"/>
      <c r="N156" s="36"/>
      <c r="O156" s="35"/>
      <c r="P156" s="35"/>
      <c r="Q156" s="36"/>
      <c r="R156" s="35"/>
      <c r="S156" s="35"/>
      <c r="T156" s="36"/>
      <c r="U156" s="36"/>
      <c r="V156" s="35"/>
      <c r="W156" s="35"/>
      <c r="X156" s="35"/>
      <c r="Y156" s="35"/>
      <c r="Z156" s="34" t="str">
        <f aca="false">IF(E156="","",IF(U156&lt;&gt;"",U156-E156,README!$B$4-E156))</f>
        <v/>
      </c>
      <c r="AA156" s="34" t="str">
        <f aca="false">IF(OR(T156="",U156=""),"",IF(U156&lt;=T156,"Yes","No"))</f>
        <v/>
      </c>
    </row>
    <row r="157" customFormat="false" ht="15" hidden="false" customHeight="false" outlineLevel="0" collapsed="false">
      <c r="A157" s="34" t="str">
        <f aca="false">IF(B157="","","RCA-"&amp;TEXT(ROW()-1,"000"))</f>
        <v/>
      </c>
      <c r="B157" s="35"/>
      <c r="C157" s="35"/>
      <c r="D157" s="36"/>
      <c r="E157" s="36"/>
      <c r="F157" s="35"/>
      <c r="G157" s="35"/>
      <c r="H157" s="35"/>
      <c r="I157" s="35"/>
      <c r="J157" s="35"/>
      <c r="K157" s="35"/>
      <c r="L157" s="35"/>
      <c r="M157" s="35"/>
      <c r="N157" s="36"/>
      <c r="O157" s="35"/>
      <c r="P157" s="35"/>
      <c r="Q157" s="36"/>
      <c r="R157" s="35"/>
      <c r="S157" s="35"/>
      <c r="T157" s="36"/>
      <c r="U157" s="36"/>
      <c r="V157" s="35"/>
      <c r="W157" s="35"/>
      <c r="X157" s="35"/>
      <c r="Y157" s="35"/>
      <c r="Z157" s="34" t="str">
        <f aca="false">IF(E157="","",IF(U157&lt;&gt;"",U157-E157,README!$B$4-E157))</f>
        <v/>
      </c>
      <c r="AA157" s="34" t="str">
        <f aca="false">IF(OR(T157="",U157=""),"",IF(U157&lt;=T157,"Yes","No"))</f>
        <v/>
      </c>
    </row>
    <row r="158" customFormat="false" ht="15" hidden="false" customHeight="false" outlineLevel="0" collapsed="false">
      <c r="A158" s="34" t="str">
        <f aca="false">IF(B158="","","RCA-"&amp;TEXT(ROW()-1,"000"))</f>
        <v/>
      </c>
      <c r="B158" s="35"/>
      <c r="C158" s="35"/>
      <c r="D158" s="36"/>
      <c r="E158" s="36"/>
      <c r="F158" s="35"/>
      <c r="G158" s="35"/>
      <c r="H158" s="35"/>
      <c r="I158" s="35"/>
      <c r="J158" s="35"/>
      <c r="K158" s="35"/>
      <c r="L158" s="35"/>
      <c r="M158" s="35"/>
      <c r="N158" s="36"/>
      <c r="O158" s="35"/>
      <c r="P158" s="35"/>
      <c r="Q158" s="36"/>
      <c r="R158" s="35"/>
      <c r="S158" s="35"/>
      <c r="T158" s="36"/>
      <c r="U158" s="36"/>
      <c r="V158" s="35"/>
      <c r="W158" s="35"/>
      <c r="X158" s="35"/>
      <c r="Y158" s="35"/>
      <c r="Z158" s="34" t="str">
        <f aca="false">IF(E158="","",IF(U158&lt;&gt;"",U158-E158,README!$B$4-E158))</f>
        <v/>
      </c>
      <c r="AA158" s="34" t="str">
        <f aca="false">IF(OR(T158="",U158=""),"",IF(U158&lt;=T158,"Yes","No"))</f>
        <v/>
      </c>
    </row>
    <row r="159" customFormat="false" ht="15" hidden="false" customHeight="false" outlineLevel="0" collapsed="false">
      <c r="A159" s="34" t="str">
        <f aca="false">IF(B159="","","RCA-"&amp;TEXT(ROW()-1,"000"))</f>
        <v/>
      </c>
      <c r="B159" s="35"/>
      <c r="C159" s="35"/>
      <c r="D159" s="36"/>
      <c r="E159" s="36"/>
      <c r="F159" s="35"/>
      <c r="G159" s="35"/>
      <c r="H159" s="35"/>
      <c r="I159" s="35"/>
      <c r="J159" s="35"/>
      <c r="K159" s="35"/>
      <c r="L159" s="35"/>
      <c r="M159" s="35"/>
      <c r="N159" s="36"/>
      <c r="O159" s="35"/>
      <c r="P159" s="35"/>
      <c r="Q159" s="36"/>
      <c r="R159" s="35"/>
      <c r="S159" s="35"/>
      <c r="T159" s="36"/>
      <c r="U159" s="36"/>
      <c r="V159" s="35"/>
      <c r="W159" s="35"/>
      <c r="X159" s="35"/>
      <c r="Y159" s="35"/>
      <c r="Z159" s="34" t="str">
        <f aca="false">IF(E159="","",IF(U159&lt;&gt;"",U159-E159,README!$B$4-E159))</f>
        <v/>
      </c>
      <c r="AA159" s="34" t="str">
        <f aca="false">IF(OR(T159="",U159=""),"",IF(U159&lt;=T159,"Yes","No"))</f>
        <v/>
      </c>
    </row>
    <row r="160" customFormat="false" ht="15" hidden="false" customHeight="false" outlineLevel="0" collapsed="false">
      <c r="A160" s="34" t="str">
        <f aca="false">IF(B160="","","RCA-"&amp;TEXT(ROW()-1,"000"))</f>
        <v/>
      </c>
      <c r="B160" s="35"/>
      <c r="C160" s="35"/>
      <c r="D160" s="36"/>
      <c r="E160" s="36"/>
      <c r="F160" s="35"/>
      <c r="G160" s="35"/>
      <c r="H160" s="35"/>
      <c r="I160" s="35"/>
      <c r="J160" s="35"/>
      <c r="K160" s="35"/>
      <c r="L160" s="35"/>
      <c r="M160" s="35"/>
      <c r="N160" s="36"/>
      <c r="O160" s="35"/>
      <c r="P160" s="35"/>
      <c r="Q160" s="36"/>
      <c r="R160" s="35"/>
      <c r="S160" s="35"/>
      <c r="T160" s="36"/>
      <c r="U160" s="36"/>
      <c r="V160" s="35"/>
      <c r="W160" s="35"/>
      <c r="X160" s="35"/>
      <c r="Y160" s="35"/>
      <c r="Z160" s="34" t="str">
        <f aca="false">IF(E160="","",IF(U160&lt;&gt;"",U160-E160,README!$B$4-E160))</f>
        <v/>
      </c>
      <c r="AA160" s="34" t="str">
        <f aca="false">IF(OR(T160="",U160=""),"",IF(U160&lt;=T160,"Yes","No"))</f>
        <v/>
      </c>
    </row>
    <row r="161" customFormat="false" ht="15" hidden="false" customHeight="false" outlineLevel="0" collapsed="false">
      <c r="A161" s="34" t="str">
        <f aca="false">IF(B161="","","RCA-"&amp;TEXT(ROW()-1,"000"))</f>
        <v/>
      </c>
      <c r="B161" s="35"/>
      <c r="C161" s="35"/>
      <c r="D161" s="36"/>
      <c r="E161" s="36"/>
      <c r="F161" s="35"/>
      <c r="G161" s="35"/>
      <c r="H161" s="35"/>
      <c r="I161" s="35"/>
      <c r="J161" s="35"/>
      <c r="K161" s="35"/>
      <c r="L161" s="35"/>
      <c r="M161" s="35"/>
      <c r="N161" s="36"/>
      <c r="O161" s="35"/>
      <c r="P161" s="35"/>
      <c r="Q161" s="36"/>
      <c r="R161" s="35"/>
      <c r="S161" s="35"/>
      <c r="T161" s="36"/>
      <c r="U161" s="36"/>
      <c r="V161" s="35"/>
      <c r="W161" s="35"/>
      <c r="X161" s="35"/>
      <c r="Y161" s="35"/>
      <c r="Z161" s="34" t="str">
        <f aca="false">IF(E161="","",IF(U161&lt;&gt;"",U161-E161,README!$B$4-E161))</f>
        <v/>
      </c>
      <c r="AA161" s="34" t="str">
        <f aca="false">IF(OR(T161="",U161=""),"",IF(U161&lt;=T161,"Yes","No"))</f>
        <v/>
      </c>
    </row>
    <row r="162" customFormat="false" ht="15" hidden="false" customHeight="false" outlineLevel="0" collapsed="false">
      <c r="A162" s="34" t="str">
        <f aca="false">IF(B162="","","RCA-"&amp;TEXT(ROW()-1,"000"))</f>
        <v/>
      </c>
      <c r="B162" s="35"/>
      <c r="C162" s="35"/>
      <c r="D162" s="36"/>
      <c r="E162" s="36"/>
      <c r="F162" s="35"/>
      <c r="G162" s="35"/>
      <c r="H162" s="35"/>
      <c r="I162" s="35"/>
      <c r="J162" s="35"/>
      <c r="K162" s="35"/>
      <c r="L162" s="35"/>
      <c r="M162" s="35"/>
      <c r="N162" s="36"/>
      <c r="O162" s="35"/>
      <c r="P162" s="35"/>
      <c r="Q162" s="36"/>
      <c r="R162" s="35"/>
      <c r="S162" s="35"/>
      <c r="T162" s="36"/>
      <c r="U162" s="36"/>
      <c r="V162" s="35"/>
      <c r="W162" s="35"/>
      <c r="X162" s="35"/>
      <c r="Y162" s="35"/>
      <c r="Z162" s="34" t="str">
        <f aca="false">IF(E162="","",IF(U162&lt;&gt;"",U162-E162,README!$B$4-E162))</f>
        <v/>
      </c>
      <c r="AA162" s="34" t="str">
        <f aca="false">IF(OR(T162="",U162=""),"",IF(U162&lt;=T162,"Yes","No"))</f>
        <v/>
      </c>
    </row>
    <row r="163" customFormat="false" ht="15" hidden="false" customHeight="false" outlineLevel="0" collapsed="false">
      <c r="A163" s="34" t="str">
        <f aca="false">IF(B163="","","RCA-"&amp;TEXT(ROW()-1,"000"))</f>
        <v/>
      </c>
      <c r="B163" s="35"/>
      <c r="C163" s="35"/>
      <c r="D163" s="36"/>
      <c r="E163" s="36"/>
      <c r="F163" s="35"/>
      <c r="G163" s="35"/>
      <c r="H163" s="35"/>
      <c r="I163" s="35"/>
      <c r="J163" s="35"/>
      <c r="K163" s="35"/>
      <c r="L163" s="35"/>
      <c r="M163" s="35"/>
      <c r="N163" s="36"/>
      <c r="O163" s="35"/>
      <c r="P163" s="35"/>
      <c r="Q163" s="36"/>
      <c r="R163" s="35"/>
      <c r="S163" s="35"/>
      <c r="T163" s="36"/>
      <c r="U163" s="36"/>
      <c r="V163" s="35"/>
      <c r="W163" s="35"/>
      <c r="X163" s="35"/>
      <c r="Y163" s="35"/>
      <c r="Z163" s="34" t="str">
        <f aca="false">IF(E163="","",IF(U163&lt;&gt;"",U163-E163,README!$B$4-E163))</f>
        <v/>
      </c>
      <c r="AA163" s="34" t="str">
        <f aca="false">IF(OR(T163="",U163=""),"",IF(U163&lt;=T163,"Yes","No"))</f>
        <v/>
      </c>
    </row>
    <row r="164" customFormat="false" ht="15" hidden="false" customHeight="false" outlineLevel="0" collapsed="false">
      <c r="A164" s="34" t="str">
        <f aca="false">IF(B164="","","RCA-"&amp;TEXT(ROW()-1,"000"))</f>
        <v/>
      </c>
      <c r="B164" s="35"/>
      <c r="C164" s="35"/>
      <c r="D164" s="36"/>
      <c r="E164" s="36"/>
      <c r="F164" s="35"/>
      <c r="G164" s="35"/>
      <c r="H164" s="35"/>
      <c r="I164" s="35"/>
      <c r="J164" s="35"/>
      <c r="K164" s="35"/>
      <c r="L164" s="35"/>
      <c r="M164" s="35"/>
      <c r="N164" s="36"/>
      <c r="O164" s="35"/>
      <c r="P164" s="35"/>
      <c r="Q164" s="36"/>
      <c r="R164" s="35"/>
      <c r="S164" s="35"/>
      <c r="T164" s="36"/>
      <c r="U164" s="36"/>
      <c r="V164" s="35"/>
      <c r="W164" s="35"/>
      <c r="X164" s="35"/>
      <c r="Y164" s="35"/>
      <c r="Z164" s="34" t="str">
        <f aca="false">IF(E164="","",IF(U164&lt;&gt;"",U164-E164,README!$B$4-E164))</f>
        <v/>
      </c>
      <c r="AA164" s="34" t="str">
        <f aca="false">IF(OR(T164="",U164=""),"",IF(U164&lt;=T164,"Yes","No"))</f>
        <v/>
      </c>
    </row>
    <row r="165" customFormat="false" ht="15" hidden="false" customHeight="false" outlineLevel="0" collapsed="false">
      <c r="A165" s="34" t="str">
        <f aca="false">IF(B165="","","RCA-"&amp;TEXT(ROW()-1,"000"))</f>
        <v/>
      </c>
      <c r="B165" s="35"/>
      <c r="C165" s="35"/>
      <c r="D165" s="36"/>
      <c r="E165" s="36"/>
      <c r="F165" s="35"/>
      <c r="G165" s="35"/>
      <c r="H165" s="35"/>
      <c r="I165" s="35"/>
      <c r="J165" s="35"/>
      <c r="K165" s="35"/>
      <c r="L165" s="35"/>
      <c r="M165" s="35"/>
      <c r="N165" s="36"/>
      <c r="O165" s="35"/>
      <c r="P165" s="35"/>
      <c r="Q165" s="36"/>
      <c r="R165" s="35"/>
      <c r="S165" s="35"/>
      <c r="T165" s="36"/>
      <c r="U165" s="36"/>
      <c r="V165" s="35"/>
      <c r="W165" s="35"/>
      <c r="X165" s="35"/>
      <c r="Y165" s="35"/>
      <c r="Z165" s="34" t="str">
        <f aca="false">IF(E165="","",IF(U165&lt;&gt;"",U165-E165,README!$B$4-E165))</f>
        <v/>
      </c>
      <c r="AA165" s="34" t="str">
        <f aca="false">IF(OR(T165="",U165=""),"",IF(U165&lt;=T165,"Yes","No"))</f>
        <v/>
      </c>
    </row>
    <row r="166" customFormat="false" ht="15" hidden="false" customHeight="false" outlineLevel="0" collapsed="false">
      <c r="A166" s="34" t="str">
        <f aca="false">IF(B166="","","RCA-"&amp;TEXT(ROW()-1,"000"))</f>
        <v/>
      </c>
      <c r="B166" s="35"/>
      <c r="C166" s="35"/>
      <c r="D166" s="36"/>
      <c r="E166" s="36"/>
      <c r="F166" s="35"/>
      <c r="G166" s="35"/>
      <c r="H166" s="35"/>
      <c r="I166" s="35"/>
      <c r="J166" s="35"/>
      <c r="K166" s="35"/>
      <c r="L166" s="35"/>
      <c r="M166" s="35"/>
      <c r="N166" s="36"/>
      <c r="O166" s="35"/>
      <c r="P166" s="35"/>
      <c r="Q166" s="36"/>
      <c r="R166" s="35"/>
      <c r="S166" s="35"/>
      <c r="T166" s="36"/>
      <c r="U166" s="36"/>
      <c r="V166" s="35"/>
      <c r="W166" s="35"/>
      <c r="X166" s="35"/>
      <c r="Y166" s="35"/>
      <c r="Z166" s="34" t="str">
        <f aca="false">IF(E166="","",IF(U166&lt;&gt;"",U166-E166,README!$B$4-E166))</f>
        <v/>
      </c>
      <c r="AA166" s="34" t="str">
        <f aca="false">IF(OR(T166="",U166=""),"",IF(U166&lt;=T166,"Yes","No"))</f>
        <v/>
      </c>
    </row>
    <row r="167" customFormat="false" ht="15" hidden="false" customHeight="false" outlineLevel="0" collapsed="false">
      <c r="A167" s="34" t="str">
        <f aca="false">IF(B167="","","RCA-"&amp;TEXT(ROW()-1,"000"))</f>
        <v/>
      </c>
      <c r="B167" s="35"/>
      <c r="C167" s="35"/>
      <c r="D167" s="36"/>
      <c r="E167" s="36"/>
      <c r="F167" s="35"/>
      <c r="G167" s="35"/>
      <c r="H167" s="35"/>
      <c r="I167" s="35"/>
      <c r="J167" s="35"/>
      <c r="K167" s="35"/>
      <c r="L167" s="35"/>
      <c r="M167" s="35"/>
      <c r="N167" s="36"/>
      <c r="O167" s="35"/>
      <c r="P167" s="35"/>
      <c r="Q167" s="36"/>
      <c r="R167" s="35"/>
      <c r="S167" s="35"/>
      <c r="T167" s="36"/>
      <c r="U167" s="36"/>
      <c r="V167" s="35"/>
      <c r="W167" s="35"/>
      <c r="X167" s="35"/>
      <c r="Y167" s="35"/>
      <c r="Z167" s="34" t="str">
        <f aca="false">IF(E167="","",IF(U167&lt;&gt;"",U167-E167,README!$B$4-E167))</f>
        <v/>
      </c>
      <c r="AA167" s="34" t="str">
        <f aca="false">IF(OR(T167="",U167=""),"",IF(U167&lt;=T167,"Yes","No"))</f>
        <v/>
      </c>
    </row>
    <row r="168" customFormat="false" ht="15" hidden="false" customHeight="false" outlineLevel="0" collapsed="false">
      <c r="A168" s="34" t="str">
        <f aca="false">IF(B168="","","RCA-"&amp;TEXT(ROW()-1,"000"))</f>
        <v/>
      </c>
      <c r="B168" s="35"/>
      <c r="C168" s="35"/>
      <c r="D168" s="36"/>
      <c r="E168" s="36"/>
      <c r="F168" s="35"/>
      <c r="G168" s="35"/>
      <c r="H168" s="35"/>
      <c r="I168" s="35"/>
      <c r="J168" s="35"/>
      <c r="K168" s="35"/>
      <c r="L168" s="35"/>
      <c r="M168" s="35"/>
      <c r="N168" s="36"/>
      <c r="O168" s="35"/>
      <c r="P168" s="35"/>
      <c r="Q168" s="36"/>
      <c r="R168" s="35"/>
      <c r="S168" s="35"/>
      <c r="T168" s="36"/>
      <c r="U168" s="36"/>
      <c r="V168" s="35"/>
      <c r="W168" s="35"/>
      <c r="X168" s="35"/>
      <c r="Y168" s="35"/>
      <c r="Z168" s="34" t="str">
        <f aca="false">IF(E168="","",IF(U168&lt;&gt;"",U168-E168,README!$B$4-E168))</f>
        <v/>
      </c>
      <c r="AA168" s="34" t="str">
        <f aca="false">IF(OR(T168="",U168=""),"",IF(U168&lt;=T168,"Yes","No"))</f>
        <v/>
      </c>
    </row>
    <row r="169" customFormat="false" ht="15" hidden="false" customHeight="false" outlineLevel="0" collapsed="false">
      <c r="A169" s="34" t="str">
        <f aca="false">IF(B169="","","RCA-"&amp;TEXT(ROW()-1,"000"))</f>
        <v/>
      </c>
      <c r="B169" s="35"/>
      <c r="C169" s="35"/>
      <c r="D169" s="36"/>
      <c r="E169" s="36"/>
      <c r="F169" s="35"/>
      <c r="G169" s="35"/>
      <c r="H169" s="35"/>
      <c r="I169" s="35"/>
      <c r="J169" s="35"/>
      <c r="K169" s="35"/>
      <c r="L169" s="35"/>
      <c r="M169" s="35"/>
      <c r="N169" s="36"/>
      <c r="O169" s="35"/>
      <c r="P169" s="35"/>
      <c r="Q169" s="36"/>
      <c r="R169" s="35"/>
      <c r="S169" s="35"/>
      <c r="T169" s="36"/>
      <c r="U169" s="36"/>
      <c r="V169" s="35"/>
      <c r="W169" s="35"/>
      <c r="X169" s="35"/>
      <c r="Y169" s="35"/>
      <c r="Z169" s="34" t="str">
        <f aca="false">IF(E169="","",IF(U169&lt;&gt;"",U169-E169,README!$B$4-E169))</f>
        <v/>
      </c>
      <c r="AA169" s="34" t="str">
        <f aca="false">IF(OR(T169="",U169=""),"",IF(U169&lt;=T169,"Yes","No"))</f>
        <v/>
      </c>
    </row>
    <row r="170" customFormat="false" ht="15" hidden="false" customHeight="false" outlineLevel="0" collapsed="false">
      <c r="A170" s="34" t="str">
        <f aca="false">IF(B170="","","RCA-"&amp;TEXT(ROW()-1,"000"))</f>
        <v/>
      </c>
      <c r="B170" s="35"/>
      <c r="C170" s="35"/>
      <c r="D170" s="36"/>
      <c r="E170" s="36"/>
      <c r="F170" s="35"/>
      <c r="G170" s="35"/>
      <c r="H170" s="35"/>
      <c r="I170" s="35"/>
      <c r="J170" s="35"/>
      <c r="K170" s="35"/>
      <c r="L170" s="35"/>
      <c r="M170" s="35"/>
      <c r="N170" s="36"/>
      <c r="O170" s="35"/>
      <c r="P170" s="35"/>
      <c r="Q170" s="36"/>
      <c r="R170" s="35"/>
      <c r="S170" s="35"/>
      <c r="T170" s="36"/>
      <c r="U170" s="36"/>
      <c r="V170" s="35"/>
      <c r="W170" s="35"/>
      <c r="X170" s="35"/>
      <c r="Y170" s="35"/>
      <c r="Z170" s="34" t="str">
        <f aca="false">IF(E170="","",IF(U170&lt;&gt;"",U170-E170,README!$B$4-E170))</f>
        <v/>
      </c>
      <c r="AA170" s="34" t="str">
        <f aca="false">IF(OR(T170="",U170=""),"",IF(U170&lt;=T170,"Yes","No"))</f>
        <v/>
      </c>
    </row>
    <row r="171" customFormat="false" ht="15" hidden="false" customHeight="false" outlineLevel="0" collapsed="false">
      <c r="A171" s="34" t="str">
        <f aca="false">IF(B171="","","RCA-"&amp;TEXT(ROW()-1,"000"))</f>
        <v/>
      </c>
      <c r="B171" s="35"/>
      <c r="C171" s="35"/>
      <c r="D171" s="36"/>
      <c r="E171" s="36"/>
      <c r="F171" s="35"/>
      <c r="G171" s="35"/>
      <c r="H171" s="35"/>
      <c r="I171" s="35"/>
      <c r="J171" s="35"/>
      <c r="K171" s="35"/>
      <c r="L171" s="35"/>
      <c r="M171" s="35"/>
      <c r="N171" s="36"/>
      <c r="O171" s="35"/>
      <c r="P171" s="35"/>
      <c r="Q171" s="36"/>
      <c r="R171" s="35"/>
      <c r="S171" s="35"/>
      <c r="T171" s="36"/>
      <c r="U171" s="36"/>
      <c r="V171" s="35"/>
      <c r="W171" s="35"/>
      <c r="X171" s="35"/>
      <c r="Y171" s="35"/>
      <c r="Z171" s="34" t="str">
        <f aca="false">IF(E171="","",IF(U171&lt;&gt;"",U171-E171,README!$B$4-E171))</f>
        <v/>
      </c>
      <c r="AA171" s="34" t="str">
        <f aca="false">IF(OR(T171="",U171=""),"",IF(U171&lt;=T171,"Yes","No"))</f>
        <v/>
      </c>
    </row>
    <row r="172" customFormat="false" ht="15" hidden="false" customHeight="false" outlineLevel="0" collapsed="false">
      <c r="A172" s="34" t="str">
        <f aca="false">IF(B172="","","RCA-"&amp;TEXT(ROW()-1,"000"))</f>
        <v/>
      </c>
      <c r="B172" s="35"/>
      <c r="C172" s="35"/>
      <c r="D172" s="36"/>
      <c r="E172" s="36"/>
      <c r="F172" s="35"/>
      <c r="G172" s="35"/>
      <c r="H172" s="35"/>
      <c r="I172" s="35"/>
      <c r="J172" s="35"/>
      <c r="K172" s="35"/>
      <c r="L172" s="35"/>
      <c r="M172" s="35"/>
      <c r="N172" s="36"/>
      <c r="O172" s="35"/>
      <c r="P172" s="35"/>
      <c r="Q172" s="36"/>
      <c r="R172" s="35"/>
      <c r="S172" s="35"/>
      <c r="T172" s="36"/>
      <c r="U172" s="36"/>
      <c r="V172" s="35"/>
      <c r="W172" s="35"/>
      <c r="X172" s="35"/>
      <c r="Y172" s="35"/>
      <c r="Z172" s="34" t="str">
        <f aca="false">IF(E172="","",IF(U172&lt;&gt;"",U172-E172,README!$B$4-E172))</f>
        <v/>
      </c>
      <c r="AA172" s="34" t="str">
        <f aca="false">IF(OR(T172="",U172=""),"",IF(U172&lt;=T172,"Yes","No"))</f>
        <v/>
      </c>
    </row>
    <row r="173" customFormat="false" ht="15" hidden="false" customHeight="false" outlineLevel="0" collapsed="false">
      <c r="A173" s="34" t="str">
        <f aca="false">IF(B173="","","RCA-"&amp;TEXT(ROW()-1,"000"))</f>
        <v/>
      </c>
      <c r="B173" s="35"/>
      <c r="C173" s="35"/>
      <c r="D173" s="36"/>
      <c r="E173" s="36"/>
      <c r="F173" s="35"/>
      <c r="G173" s="35"/>
      <c r="H173" s="35"/>
      <c r="I173" s="35"/>
      <c r="J173" s="35"/>
      <c r="K173" s="35"/>
      <c r="L173" s="35"/>
      <c r="M173" s="35"/>
      <c r="N173" s="36"/>
      <c r="O173" s="35"/>
      <c r="P173" s="35"/>
      <c r="Q173" s="36"/>
      <c r="R173" s="35"/>
      <c r="S173" s="35"/>
      <c r="T173" s="36"/>
      <c r="U173" s="36"/>
      <c r="V173" s="35"/>
      <c r="W173" s="35"/>
      <c r="X173" s="35"/>
      <c r="Y173" s="35"/>
      <c r="Z173" s="34" t="str">
        <f aca="false">IF(E173="","",IF(U173&lt;&gt;"",U173-E173,README!$B$4-E173))</f>
        <v/>
      </c>
      <c r="AA173" s="34" t="str">
        <f aca="false">IF(OR(T173="",U173=""),"",IF(U173&lt;=T173,"Yes","No"))</f>
        <v/>
      </c>
    </row>
    <row r="174" customFormat="false" ht="15" hidden="false" customHeight="false" outlineLevel="0" collapsed="false">
      <c r="A174" s="34" t="str">
        <f aca="false">IF(B174="","","RCA-"&amp;TEXT(ROW()-1,"000"))</f>
        <v/>
      </c>
      <c r="B174" s="35"/>
      <c r="C174" s="35"/>
      <c r="D174" s="36"/>
      <c r="E174" s="36"/>
      <c r="F174" s="35"/>
      <c r="G174" s="35"/>
      <c r="H174" s="35"/>
      <c r="I174" s="35"/>
      <c r="J174" s="35"/>
      <c r="K174" s="35"/>
      <c r="L174" s="35"/>
      <c r="M174" s="35"/>
      <c r="N174" s="36"/>
      <c r="O174" s="35"/>
      <c r="P174" s="35"/>
      <c r="Q174" s="36"/>
      <c r="R174" s="35"/>
      <c r="S174" s="35"/>
      <c r="T174" s="36"/>
      <c r="U174" s="36"/>
      <c r="V174" s="35"/>
      <c r="W174" s="35"/>
      <c r="X174" s="35"/>
      <c r="Y174" s="35"/>
      <c r="Z174" s="34" t="str">
        <f aca="false">IF(E174="","",IF(U174&lt;&gt;"",U174-E174,README!$B$4-E174))</f>
        <v/>
      </c>
      <c r="AA174" s="34" t="str">
        <f aca="false">IF(OR(T174="",U174=""),"",IF(U174&lt;=T174,"Yes","No"))</f>
        <v/>
      </c>
    </row>
    <row r="175" customFormat="false" ht="15" hidden="false" customHeight="false" outlineLevel="0" collapsed="false">
      <c r="A175" s="34" t="str">
        <f aca="false">IF(B175="","","RCA-"&amp;TEXT(ROW()-1,"000"))</f>
        <v/>
      </c>
      <c r="B175" s="35"/>
      <c r="C175" s="35"/>
      <c r="D175" s="36"/>
      <c r="E175" s="36"/>
      <c r="F175" s="35"/>
      <c r="G175" s="35"/>
      <c r="H175" s="35"/>
      <c r="I175" s="35"/>
      <c r="J175" s="35"/>
      <c r="K175" s="35"/>
      <c r="L175" s="35"/>
      <c r="M175" s="35"/>
      <c r="N175" s="36"/>
      <c r="O175" s="35"/>
      <c r="P175" s="35"/>
      <c r="Q175" s="36"/>
      <c r="R175" s="35"/>
      <c r="S175" s="35"/>
      <c r="T175" s="36"/>
      <c r="U175" s="36"/>
      <c r="V175" s="35"/>
      <c r="W175" s="35"/>
      <c r="X175" s="35"/>
      <c r="Y175" s="35"/>
      <c r="Z175" s="34" t="str">
        <f aca="false">IF(E175="","",IF(U175&lt;&gt;"",U175-E175,README!$B$4-E175))</f>
        <v/>
      </c>
      <c r="AA175" s="34" t="str">
        <f aca="false">IF(OR(T175="",U175=""),"",IF(U175&lt;=T175,"Yes","No"))</f>
        <v/>
      </c>
    </row>
    <row r="176" customFormat="false" ht="15" hidden="false" customHeight="false" outlineLevel="0" collapsed="false">
      <c r="A176" s="34" t="str">
        <f aca="false">IF(B176="","","RCA-"&amp;TEXT(ROW()-1,"000"))</f>
        <v/>
      </c>
      <c r="B176" s="35"/>
      <c r="C176" s="35"/>
      <c r="D176" s="36"/>
      <c r="E176" s="36"/>
      <c r="F176" s="35"/>
      <c r="G176" s="35"/>
      <c r="H176" s="35"/>
      <c r="I176" s="35"/>
      <c r="J176" s="35"/>
      <c r="K176" s="35"/>
      <c r="L176" s="35"/>
      <c r="M176" s="35"/>
      <c r="N176" s="36"/>
      <c r="O176" s="35"/>
      <c r="P176" s="35"/>
      <c r="Q176" s="36"/>
      <c r="R176" s="35"/>
      <c r="S176" s="35"/>
      <c r="T176" s="36"/>
      <c r="U176" s="36"/>
      <c r="V176" s="35"/>
      <c r="W176" s="35"/>
      <c r="X176" s="35"/>
      <c r="Y176" s="35"/>
      <c r="Z176" s="34" t="str">
        <f aca="false">IF(E176="","",IF(U176&lt;&gt;"",U176-E176,README!$B$4-E176))</f>
        <v/>
      </c>
      <c r="AA176" s="34" t="str">
        <f aca="false">IF(OR(T176="",U176=""),"",IF(U176&lt;=T176,"Yes","No"))</f>
        <v/>
      </c>
    </row>
    <row r="177" customFormat="false" ht="15" hidden="false" customHeight="false" outlineLevel="0" collapsed="false">
      <c r="A177" s="34" t="str">
        <f aca="false">IF(B177="","","RCA-"&amp;TEXT(ROW()-1,"000"))</f>
        <v/>
      </c>
      <c r="B177" s="35"/>
      <c r="C177" s="35"/>
      <c r="D177" s="36"/>
      <c r="E177" s="36"/>
      <c r="F177" s="35"/>
      <c r="G177" s="35"/>
      <c r="H177" s="35"/>
      <c r="I177" s="35"/>
      <c r="J177" s="35"/>
      <c r="K177" s="35"/>
      <c r="L177" s="35"/>
      <c r="M177" s="35"/>
      <c r="N177" s="36"/>
      <c r="O177" s="35"/>
      <c r="P177" s="35"/>
      <c r="Q177" s="36"/>
      <c r="R177" s="35"/>
      <c r="S177" s="35"/>
      <c r="T177" s="36"/>
      <c r="U177" s="36"/>
      <c r="V177" s="35"/>
      <c r="W177" s="35"/>
      <c r="X177" s="35"/>
      <c r="Y177" s="35"/>
      <c r="Z177" s="34" t="str">
        <f aca="false">IF(E177="","",IF(U177&lt;&gt;"",U177-E177,README!$B$4-E177))</f>
        <v/>
      </c>
      <c r="AA177" s="34" t="str">
        <f aca="false">IF(OR(T177="",U177=""),"",IF(U177&lt;=T177,"Yes","No"))</f>
        <v/>
      </c>
    </row>
    <row r="178" customFormat="false" ht="15" hidden="false" customHeight="false" outlineLevel="0" collapsed="false">
      <c r="A178" s="34" t="str">
        <f aca="false">IF(B178="","","RCA-"&amp;TEXT(ROW()-1,"000"))</f>
        <v/>
      </c>
      <c r="B178" s="35"/>
      <c r="C178" s="35"/>
      <c r="D178" s="36"/>
      <c r="E178" s="36"/>
      <c r="F178" s="35"/>
      <c r="G178" s="35"/>
      <c r="H178" s="35"/>
      <c r="I178" s="35"/>
      <c r="J178" s="35"/>
      <c r="K178" s="35"/>
      <c r="L178" s="35"/>
      <c r="M178" s="35"/>
      <c r="N178" s="36"/>
      <c r="O178" s="35"/>
      <c r="P178" s="35"/>
      <c r="Q178" s="36"/>
      <c r="R178" s="35"/>
      <c r="S178" s="35"/>
      <c r="T178" s="36"/>
      <c r="U178" s="36"/>
      <c r="V178" s="35"/>
      <c r="W178" s="35"/>
      <c r="X178" s="35"/>
      <c r="Y178" s="35"/>
      <c r="Z178" s="34" t="str">
        <f aca="false">IF(E178="","",IF(U178&lt;&gt;"",U178-E178,README!$B$4-E178))</f>
        <v/>
      </c>
      <c r="AA178" s="34" t="str">
        <f aca="false">IF(OR(T178="",U178=""),"",IF(U178&lt;=T178,"Yes","No"))</f>
        <v/>
      </c>
    </row>
    <row r="179" customFormat="false" ht="15" hidden="false" customHeight="false" outlineLevel="0" collapsed="false">
      <c r="A179" s="34" t="str">
        <f aca="false">IF(B179="","","RCA-"&amp;TEXT(ROW()-1,"000"))</f>
        <v/>
      </c>
      <c r="B179" s="35"/>
      <c r="C179" s="35"/>
      <c r="D179" s="36"/>
      <c r="E179" s="36"/>
      <c r="F179" s="35"/>
      <c r="G179" s="35"/>
      <c r="H179" s="35"/>
      <c r="I179" s="35"/>
      <c r="J179" s="35"/>
      <c r="K179" s="35"/>
      <c r="L179" s="35"/>
      <c r="M179" s="35"/>
      <c r="N179" s="36"/>
      <c r="O179" s="35"/>
      <c r="P179" s="35"/>
      <c r="Q179" s="36"/>
      <c r="R179" s="35"/>
      <c r="S179" s="35"/>
      <c r="T179" s="36"/>
      <c r="U179" s="36"/>
      <c r="V179" s="35"/>
      <c r="W179" s="35"/>
      <c r="X179" s="35"/>
      <c r="Y179" s="35"/>
      <c r="Z179" s="34" t="str">
        <f aca="false">IF(E179="","",IF(U179&lt;&gt;"",U179-E179,README!$B$4-E179))</f>
        <v/>
      </c>
      <c r="AA179" s="34" t="str">
        <f aca="false">IF(OR(T179="",U179=""),"",IF(U179&lt;=T179,"Yes","No"))</f>
        <v/>
      </c>
    </row>
    <row r="180" customFormat="false" ht="15" hidden="false" customHeight="false" outlineLevel="0" collapsed="false">
      <c r="A180" s="34" t="str">
        <f aca="false">IF(B180="","","RCA-"&amp;TEXT(ROW()-1,"000"))</f>
        <v/>
      </c>
      <c r="B180" s="35"/>
      <c r="C180" s="35"/>
      <c r="D180" s="36"/>
      <c r="E180" s="36"/>
      <c r="F180" s="35"/>
      <c r="G180" s="35"/>
      <c r="H180" s="35"/>
      <c r="I180" s="35"/>
      <c r="J180" s="35"/>
      <c r="K180" s="35"/>
      <c r="L180" s="35"/>
      <c r="M180" s="35"/>
      <c r="N180" s="36"/>
      <c r="O180" s="35"/>
      <c r="P180" s="35"/>
      <c r="Q180" s="36"/>
      <c r="R180" s="35"/>
      <c r="S180" s="35"/>
      <c r="T180" s="36"/>
      <c r="U180" s="36"/>
      <c r="V180" s="35"/>
      <c r="W180" s="35"/>
      <c r="X180" s="35"/>
      <c r="Y180" s="35"/>
      <c r="Z180" s="34" t="str">
        <f aca="false">IF(E180="","",IF(U180&lt;&gt;"",U180-E180,README!$B$4-E180))</f>
        <v/>
      </c>
      <c r="AA180" s="34" t="str">
        <f aca="false">IF(OR(T180="",U180=""),"",IF(U180&lt;=T180,"Yes","No"))</f>
        <v/>
      </c>
    </row>
    <row r="181" customFormat="false" ht="15" hidden="false" customHeight="false" outlineLevel="0" collapsed="false">
      <c r="A181" s="34" t="str">
        <f aca="false">IF(B181="","","RCA-"&amp;TEXT(ROW()-1,"000"))</f>
        <v/>
      </c>
      <c r="B181" s="35"/>
      <c r="C181" s="35"/>
      <c r="D181" s="36"/>
      <c r="E181" s="36"/>
      <c r="F181" s="35"/>
      <c r="G181" s="35"/>
      <c r="H181" s="35"/>
      <c r="I181" s="35"/>
      <c r="J181" s="35"/>
      <c r="K181" s="35"/>
      <c r="L181" s="35"/>
      <c r="M181" s="35"/>
      <c r="N181" s="36"/>
      <c r="O181" s="35"/>
      <c r="P181" s="35"/>
      <c r="Q181" s="36"/>
      <c r="R181" s="35"/>
      <c r="S181" s="35"/>
      <c r="T181" s="36"/>
      <c r="U181" s="36"/>
      <c r="V181" s="35"/>
      <c r="W181" s="35"/>
      <c r="X181" s="35"/>
      <c r="Y181" s="35"/>
      <c r="Z181" s="34" t="str">
        <f aca="false">IF(E181="","",IF(U181&lt;&gt;"",U181-E181,README!$B$4-E181))</f>
        <v/>
      </c>
      <c r="AA181" s="34" t="str">
        <f aca="false">IF(OR(T181="",U181=""),"",IF(U181&lt;=T181,"Yes","No"))</f>
        <v/>
      </c>
    </row>
    <row r="182" customFormat="false" ht="15" hidden="false" customHeight="false" outlineLevel="0" collapsed="false">
      <c r="A182" s="34" t="str">
        <f aca="false">IF(B182="","","RCA-"&amp;TEXT(ROW()-1,"000"))</f>
        <v/>
      </c>
      <c r="B182" s="35"/>
      <c r="C182" s="35"/>
      <c r="D182" s="36"/>
      <c r="E182" s="36"/>
      <c r="F182" s="35"/>
      <c r="G182" s="35"/>
      <c r="H182" s="35"/>
      <c r="I182" s="35"/>
      <c r="J182" s="35"/>
      <c r="K182" s="35"/>
      <c r="L182" s="35"/>
      <c r="M182" s="35"/>
      <c r="N182" s="36"/>
      <c r="O182" s="35"/>
      <c r="P182" s="35"/>
      <c r="Q182" s="36"/>
      <c r="R182" s="35"/>
      <c r="S182" s="35"/>
      <c r="T182" s="36"/>
      <c r="U182" s="36"/>
      <c r="V182" s="35"/>
      <c r="W182" s="35"/>
      <c r="X182" s="35"/>
      <c r="Y182" s="35"/>
      <c r="Z182" s="34" t="str">
        <f aca="false">IF(E182="","",IF(U182&lt;&gt;"",U182-E182,README!$B$4-E182))</f>
        <v/>
      </c>
      <c r="AA182" s="34" t="str">
        <f aca="false">IF(OR(T182="",U182=""),"",IF(U182&lt;=T182,"Yes","No"))</f>
        <v/>
      </c>
    </row>
    <row r="183" customFormat="false" ht="15" hidden="false" customHeight="false" outlineLevel="0" collapsed="false">
      <c r="A183" s="34" t="str">
        <f aca="false">IF(B183="","","RCA-"&amp;TEXT(ROW()-1,"000"))</f>
        <v/>
      </c>
      <c r="B183" s="35"/>
      <c r="C183" s="35"/>
      <c r="D183" s="36"/>
      <c r="E183" s="36"/>
      <c r="F183" s="35"/>
      <c r="G183" s="35"/>
      <c r="H183" s="35"/>
      <c r="I183" s="35"/>
      <c r="J183" s="35"/>
      <c r="K183" s="35"/>
      <c r="L183" s="35"/>
      <c r="M183" s="35"/>
      <c r="N183" s="36"/>
      <c r="O183" s="35"/>
      <c r="P183" s="35"/>
      <c r="Q183" s="36"/>
      <c r="R183" s="35"/>
      <c r="S183" s="35"/>
      <c r="T183" s="36"/>
      <c r="U183" s="36"/>
      <c r="V183" s="35"/>
      <c r="W183" s="35"/>
      <c r="X183" s="35"/>
      <c r="Y183" s="35"/>
      <c r="Z183" s="34" t="str">
        <f aca="false">IF(E183="","",IF(U183&lt;&gt;"",U183-E183,README!$B$4-E183))</f>
        <v/>
      </c>
      <c r="AA183" s="34" t="str">
        <f aca="false">IF(OR(T183="",U183=""),"",IF(U183&lt;=T183,"Yes","No"))</f>
        <v/>
      </c>
    </row>
    <row r="184" customFormat="false" ht="15" hidden="false" customHeight="false" outlineLevel="0" collapsed="false">
      <c r="A184" s="34" t="str">
        <f aca="false">IF(B184="","","RCA-"&amp;TEXT(ROW()-1,"000"))</f>
        <v/>
      </c>
      <c r="B184" s="35"/>
      <c r="C184" s="35"/>
      <c r="D184" s="36"/>
      <c r="E184" s="36"/>
      <c r="F184" s="35"/>
      <c r="G184" s="35"/>
      <c r="H184" s="35"/>
      <c r="I184" s="35"/>
      <c r="J184" s="35"/>
      <c r="K184" s="35"/>
      <c r="L184" s="35"/>
      <c r="M184" s="35"/>
      <c r="N184" s="36"/>
      <c r="O184" s="35"/>
      <c r="P184" s="35"/>
      <c r="Q184" s="36"/>
      <c r="R184" s="35"/>
      <c r="S184" s="35"/>
      <c r="T184" s="36"/>
      <c r="U184" s="36"/>
      <c r="V184" s="35"/>
      <c r="W184" s="35"/>
      <c r="X184" s="35"/>
      <c r="Y184" s="35"/>
      <c r="Z184" s="34" t="str">
        <f aca="false">IF(E184="","",IF(U184&lt;&gt;"",U184-E184,README!$B$4-E184))</f>
        <v/>
      </c>
      <c r="AA184" s="34" t="str">
        <f aca="false">IF(OR(T184="",U184=""),"",IF(U184&lt;=T184,"Yes","No"))</f>
        <v/>
      </c>
    </row>
    <row r="185" customFormat="false" ht="15" hidden="false" customHeight="false" outlineLevel="0" collapsed="false">
      <c r="A185" s="34" t="str">
        <f aca="false">IF(B185="","","RCA-"&amp;TEXT(ROW()-1,"000"))</f>
        <v/>
      </c>
      <c r="B185" s="35"/>
      <c r="C185" s="35"/>
      <c r="D185" s="36"/>
      <c r="E185" s="36"/>
      <c r="F185" s="35"/>
      <c r="G185" s="35"/>
      <c r="H185" s="35"/>
      <c r="I185" s="35"/>
      <c r="J185" s="35"/>
      <c r="K185" s="35"/>
      <c r="L185" s="35"/>
      <c r="M185" s="35"/>
      <c r="N185" s="36"/>
      <c r="O185" s="35"/>
      <c r="P185" s="35"/>
      <c r="Q185" s="36"/>
      <c r="R185" s="35"/>
      <c r="S185" s="35"/>
      <c r="T185" s="36"/>
      <c r="U185" s="36"/>
      <c r="V185" s="35"/>
      <c r="W185" s="35"/>
      <c r="X185" s="35"/>
      <c r="Y185" s="35"/>
      <c r="Z185" s="34" t="str">
        <f aca="false">IF(E185="","",IF(U185&lt;&gt;"",U185-E185,README!$B$4-E185))</f>
        <v/>
      </c>
      <c r="AA185" s="34" t="str">
        <f aca="false">IF(OR(T185="",U185=""),"",IF(U185&lt;=T185,"Yes","No"))</f>
        <v/>
      </c>
    </row>
    <row r="186" customFormat="false" ht="15" hidden="false" customHeight="false" outlineLevel="0" collapsed="false">
      <c r="A186" s="34" t="str">
        <f aca="false">IF(B186="","","RCA-"&amp;TEXT(ROW()-1,"000"))</f>
        <v/>
      </c>
      <c r="B186" s="35"/>
      <c r="C186" s="35"/>
      <c r="D186" s="36"/>
      <c r="E186" s="36"/>
      <c r="F186" s="35"/>
      <c r="G186" s="35"/>
      <c r="H186" s="35"/>
      <c r="I186" s="35"/>
      <c r="J186" s="35"/>
      <c r="K186" s="35"/>
      <c r="L186" s="35"/>
      <c r="M186" s="35"/>
      <c r="N186" s="36"/>
      <c r="O186" s="35"/>
      <c r="P186" s="35"/>
      <c r="Q186" s="36"/>
      <c r="R186" s="35"/>
      <c r="S186" s="35"/>
      <c r="T186" s="36"/>
      <c r="U186" s="36"/>
      <c r="V186" s="35"/>
      <c r="W186" s="35"/>
      <c r="X186" s="35"/>
      <c r="Y186" s="35"/>
      <c r="Z186" s="34" t="str">
        <f aca="false">IF(E186="","",IF(U186&lt;&gt;"",U186-E186,README!$B$4-E186))</f>
        <v/>
      </c>
      <c r="AA186" s="34" t="str">
        <f aca="false">IF(OR(T186="",U186=""),"",IF(U186&lt;=T186,"Yes","No"))</f>
        <v/>
      </c>
    </row>
    <row r="187" customFormat="false" ht="15" hidden="false" customHeight="false" outlineLevel="0" collapsed="false">
      <c r="A187" s="34" t="str">
        <f aca="false">IF(B187="","","RCA-"&amp;TEXT(ROW()-1,"000"))</f>
        <v/>
      </c>
      <c r="B187" s="35"/>
      <c r="C187" s="35"/>
      <c r="D187" s="36"/>
      <c r="E187" s="36"/>
      <c r="F187" s="35"/>
      <c r="G187" s="35"/>
      <c r="H187" s="35"/>
      <c r="I187" s="35"/>
      <c r="J187" s="35"/>
      <c r="K187" s="35"/>
      <c r="L187" s="35"/>
      <c r="M187" s="35"/>
      <c r="N187" s="36"/>
      <c r="O187" s="35"/>
      <c r="P187" s="35"/>
      <c r="Q187" s="36"/>
      <c r="R187" s="35"/>
      <c r="S187" s="35"/>
      <c r="T187" s="36"/>
      <c r="U187" s="36"/>
      <c r="V187" s="35"/>
      <c r="W187" s="35"/>
      <c r="X187" s="35"/>
      <c r="Y187" s="35"/>
      <c r="Z187" s="34" t="str">
        <f aca="false">IF(E187="","",IF(U187&lt;&gt;"",U187-E187,README!$B$4-E187))</f>
        <v/>
      </c>
      <c r="AA187" s="34" t="str">
        <f aca="false">IF(OR(T187="",U187=""),"",IF(U187&lt;=T187,"Yes","No"))</f>
        <v/>
      </c>
    </row>
    <row r="188" customFormat="false" ht="15" hidden="false" customHeight="false" outlineLevel="0" collapsed="false">
      <c r="A188" s="34" t="str">
        <f aca="false">IF(B188="","","RCA-"&amp;TEXT(ROW()-1,"000"))</f>
        <v/>
      </c>
      <c r="B188" s="35"/>
      <c r="C188" s="35"/>
      <c r="D188" s="36"/>
      <c r="E188" s="36"/>
      <c r="F188" s="35"/>
      <c r="G188" s="35"/>
      <c r="H188" s="35"/>
      <c r="I188" s="35"/>
      <c r="J188" s="35"/>
      <c r="K188" s="35"/>
      <c r="L188" s="35"/>
      <c r="M188" s="35"/>
      <c r="N188" s="36"/>
      <c r="O188" s="35"/>
      <c r="P188" s="35"/>
      <c r="Q188" s="36"/>
      <c r="R188" s="35"/>
      <c r="S188" s="35"/>
      <c r="T188" s="36"/>
      <c r="U188" s="36"/>
      <c r="V188" s="35"/>
      <c r="W188" s="35"/>
      <c r="X188" s="35"/>
      <c r="Y188" s="35"/>
      <c r="Z188" s="34" t="str">
        <f aca="false">IF(E188="","",IF(U188&lt;&gt;"",U188-E188,README!$B$4-E188))</f>
        <v/>
      </c>
      <c r="AA188" s="34" t="str">
        <f aca="false">IF(OR(T188="",U188=""),"",IF(U188&lt;=T188,"Yes","No"))</f>
        <v/>
      </c>
    </row>
    <row r="189" customFormat="false" ht="15" hidden="false" customHeight="false" outlineLevel="0" collapsed="false">
      <c r="A189" s="34" t="str">
        <f aca="false">IF(B189="","","RCA-"&amp;TEXT(ROW()-1,"000"))</f>
        <v/>
      </c>
      <c r="B189" s="35"/>
      <c r="C189" s="35"/>
      <c r="D189" s="36"/>
      <c r="E189" s="36"/>
      <c r="F189" s="35"/>
      <c r="G189" s="35"/>
      <c r="H189" s="35"/>
      <c r="I189" s="35"/>
      <c r="J189" s="35"/>
      <c r="K189" s="35"/>
      <c r="L189" s="35"/>
      <c r="M189" s="35"/>
      <c r="N189" s="36"/>
      <c r="O189" s="35"/>
      <c r="P189" s="35"/>
      <c r="Q189" s="36"/>
      <c r="R189" s="35"/>
      <c r="S189" s="35"/>
      <c r="T189" s="36"/>
      <c r="U189" s="36"/>
      <c r="V189" s="35"/>
      <c r="W189" s="35"/>
      <c r="X189" s="35"/>
      <c r="Y189" s="35"/>
      <c r="Z189" s="34" t="str">
        <f aca="false">IF(E189="","",IF(U189&lt;&gt;"",U189-E189,README!$B$4-E189))</f>
        <v/>
      </c>
      <c r="AA189" s="34" t="str">
        <f aca="false">IF(OR(T189="",U189=""),"",IF(U189&lt;=T189,"Yes","No"))</f>
        <v/>
      </c>
    </row>
    <row r="190" customFormat="false" ht="15" hidden="false" customHeight="false" outlineLevel="0" collapsed="false">
      <c r="A190" s="34" t="str">
        <f aca="false">IF(B190="","","RCA-"&amp;TEXT(ROW()-1,"000"))</f>
        <v/>
      </c>
      <c r="B190" s="35"/>
      <c r="C190" s="35"/>
      <c r="D190" s="36"/>
      <c r="E190" s="36"/>
      <c r="F190" s="35"/>
      <c r="G190" s="35"/>
      <c r="H190" s="35"/>
      <c r="I190" s="35"/>
      <c r="J190" s="35"/>
      <c r="K190" s="35"/>
      <c r="L190" s="35"/>
      <c r="M190" s="35"/>
      <c r="N190" s="36"/>
      <c r="O190" s="35"/>
      <c r="P190" s="35"/>
      <c r="Q190" s="36"/>
      <c r="R190" s="35"/>
      <c r="S190" s="35"/>
      <c r="T190" s="36"/>
      <c r="U190" s="36"/>
      <c r="V190" s="35"/>
      <c r="W190" s="35"/>
      <c r="X190" s="35"/>
      <c r="Y190" s="35"/>
      <c r="Z190" s="34" t="str">
        <f aca="false">IF(E190="","",IF(U190&lt;&gt;"",U190-E190,README!$B$4-E190))</f>
        <v/>
      </c>
      <c r="AA190" s="34" t="str">
        <f aca="false">IF(OR(T190="",U190=""),"",IF(U190&lt;=T190,"Yes","No"))</f>
        <v/>
      </c>
    </row>
    <row r="191" customFormat="false" ht="15" hidden="false" customHeight="false" outlineLevel="0" collapsed="false">
      <c r="A191" s="34" t="str">
        <f aca="false">IF(B191="","","RCA-"&amp;TEXT(ROW()-1,"000"))</f>
        <v/>
      </c>
      <c r="B191" s="35"/>
      <c r="C191" s="35"/>
      <c r="D191" s="36"/>
      <c r="E191" s="36"/>
      <c r="F191" s="35"/>
      <c r="G191" s="35"/>
      <c r="H191" s="35"/>
      <c r="I191" s="35"/>
      <c r="J191" s="35"/>
      <c r="K191" s="35"/>
      <c r="L191" s="35"/>
      <c r="M191" s="35"/>
      <c r="N191" s="36"/>
      <c r="O191" s="35"/>
      <c r="P191" s="35"/>
      <c r="Q191" s="36"/>
      <c r="R191" s="35"/>
      <c r="S191" s="35"/>
      <c r="T191" s="36"/>
      <c r="U191" s="36"/>
      <c r="V191" s="35"/>
      <c r="W191" s="35"/>
      <c r="X191" s="35"/>
      <c r="Y191" s="35"/>
      <c r="Z191" s="34" t="str">
        <f aca="false">IF(E191="","",IF(U191&lt;&gt;"",U191-E191,README!$B$4-E191))</f>
        <v/>
      </c>
      <c r="AA191" s="34" t="str">
        <f aca="false">IF(OR(T191="",U191=""),"",IF(U191&lt;=T191,"Yes","No"))</f>
        <v/>
      </c>
    </row>
    <row r="192" customFormat="false" ht="15" hidden="false" customHeight="false" outlineLevel="0" collapsed="false">
      <c r="A192" s="34" t="str">
        <f aca="false">IF(B192="","","RCA-"&amp;TEXT(ROW()-1,"000"))</f>
        <v/>
      </c>
      <c r="B192" s="35"/>
      <c r="C192" s="35"/>
      <c r="D192" s="36"/>
      <c r="E192" s="36"/>
      <c r="F192" s="35"/>
      <c r="G192" s="35"/>
      <c r="H192" s="35"/>
      <c r="I192" s="35"/>
      <c r="J192" s="35"/>
      <c r="K192" s="35"/>
      <c r="L192" s="35"/>
      <c r="M192" s="35"/>
      <c r="N192" s="36"/>
      <c r="O192" s="35"/>
      <c r="P192" s="35"/>
      <c r="Q192" s="36"/>
      <c r="R192" s="35"/>
      <c r="S192" s="35"/>
      <c r="T192" s="36"/>
      <c r="U192" s="36"/>
      <c r="V192" s="35"/>
      <c r="W192" s="35"/>
      <c r="X192" s="35"/>
      <c r="Y192" s="35"/>
      <c r="Z192" s="34" t="str">
        <f aca="false">IF(E192="","",IF(U192&lt;&gt;"",U192-E192,README!$B$4-E192))</f>
        <v/>
      </c>
      <c r="AA192" s="34" t="str">
        <f aca="false">IF(OR(T192="",U192=""),"",IF(U192&lt;=T192,"Yes","No"))</f>
        <v/>
      </c>
    </row>
    <row r="193" customFormat="false" ht="15" hidden="false" customHeight="false" outlineLevel="0" collapsed="false">
      <c r="A193" s="34" t="str">
        <f aca="false">IF(B193="","","RCA-"&amp;TEXT(ROW()-1,"000"))</f>
        <v/>
      </c>
      <c r="B193" s="35"/>
      <c r="C193" s="35"/>
      <c r="D193" s="36"/>
      <c r="E193" s="36"/>
      <c r="F193" s="35"/>
      <c r="G193" s="35"/>
      <c r="H193" s="35"/>
      <c r="I193" s="35"/>
      <c r="J193" s="35"/>
      <c r="K193" s="35"/>
      <c r="L193" s="35"/>
      <c r="M193" s="35"/>
      <c r="N193" s="36"/>
      <c r="O193" s="35"/>
      <c r="P193" s="35"/>
      <c r="Q193" s="36"/>
      <c r="R193" s="35"/>
      <c r="S193" s="35"/>
      <c r="T193" s="36"/>
      <c r="U193" s="36"/>
      <c r="V193" s="35"/>
      <c r="W193" s="35"/>
      <c r="X193" s="35"/>
      <c r="Y193" s="35"/>
      <c r="Z193" s="34" t="str">
        <f aca="false">IF(E193="","",IF(U193&lt;&gt;"",U193-E193,README!$B$4-E193))</f>
        <v/>
      </c>
      <c r="AA193" s="34" t="str">
        <f aca="false">IF(OR(T193="",U193=""),"",IF(U193&lt;=T193,"Yes","No"))</f>
        <v/>
      </c>
    </row>
    <row r="194" customFormat="false" ht="15" hidden="false" customHeight="false" outlineLevel="0" collapsed="false">
      <c r="A194" s="34" t="str">
        <f aca="false">IF(B194="","","RCA-"&amp;TEXT(ROW()-1,"000"))</f>
        <v/>
      </c>
      <c r="B194" s="35"/>
      <c r="C194" s="35"/>
      <c r="D194" s="36"/>
      <c r="E194" s="36"/>
      <c r="F194" s="35"/>
      <c r="G194" s="35"/>
      <c r="H194" s="35"/>
      <c r="I194" s="35"/>
      <c r="J194" s="35"/>
      <c r="K194" s="35"/>
      <c r="L194" s="35"/>
      <c r="M194" s="35"/>
      <c r="N194" s="36"/>
      <c r="O194" s="35"/>
      <c r="P194" s="35"/>
      <c r="Q194" s="36"/>
      <c r="R194" s="35"/>
      <c r="S194" s="35"/>
      <c r="T194" s="36"/>
      <c r="U194" s="36"/>
      <c r="V194" s="35"/>
      <c r="W194" s="35"/>
      <c r="X194" s="35"/>
      <c r="Y194" s="35"/>
      <c r="Z194" s="34" t="str">
        <f aca="false">IF(E194="","",IF(U194&lt;&gt;"",U194-E194,README!$B$4-E194))</f>
        <v/>
      </c>
      <c r="AA194" s="34" t="str">
        <f aca="false">IF(OR(T194="",U194=""),"",IF(U194&lt;=T194,"Yes","No"))</f>
        <v/>
      </c>
    </row>
    <row r="195" customFormat="false" ht="15" hidden="false" customHeight="false" outlineLevel="0" collapsed="false">
      <c r="A195" s="34" t="str">
        <f aca="false">IF(B195="","","RCA-"&amp;TEXT(ROW()-1,"000"))</f>
        <v/>
      </c>
      <c r="B195" s="35"/>
      <c r="C195" s="35"/>
      <c r="D195" s="36"/>
      <c r="E195" s="36"/>
      <c r="F195" s="35"/>
      <c r="G195" s="35"/>
      <c r="H195" s="35"/>
      <c r="I195" s="35"/>
      <c r="J195" s="35"/>
      <c r="K195" s="35"/>
      <c r="L195" s="35"/>
      <c r="M195" s="35"/>
      <c r="N195" s="36"/>
      <c r="O195" s="35"/>
      <c r="P195" s="35"/>
      <c r="Q195" s="36"/>
      <c r="R195" s="35"/>
      <c r="S195" s="35"/>
      <c r="T195" s="36"/>
      <c r="U195" s="36"/>
      <c r="V195" s="35"/>
      <c r="W195" s="35"/>
      <c r="X195" s="35"/>
      <c r="Y195" s="35"/>
      <c r="Z195" s="34" t="str">
        <f aca="false">IF(E195="","",IF(U195&lt;&gt;"",U195-E195,README!$B$4-E195))</f>
        <v/>
      </c>
      <c r="AA195" s="34" t="str">
        <f aca="false">IF(OR(T195="",U195=""),"",IF(U195&lt;=T195,"Yes","No"))</f>
        <v/>
      </c>
    </row>
    <row r="196" customFormat="false" ht="15" hidden="false" customHeight="false" outlineLevel="0" collapsed="false">
      <c r="A196" s="34" t="str">
        <f aca="false">IF(B196="","","RCA-"&amp;TEXT(ROW()-1,"000"))</f>
        <v/>
      </c>
      <c r="B196" s="35"/>
      <c r="C196" s="35"/>
      <c r="D196" s="36"/>
      <c r="E196" s="36"/>
      <c r="F196" s="35"/>
      <c r="G196" s="35"/>
      <c r="H196" s="35"/>
      <c r="I196" s="35"/>
      <c r="J196" s="35"/>
      <c r="K196" s="35"/>
      <c r="L196" s="35"/>
      <c r="M196" s="35"/>
      <c r="N196" s="36"/>
      <c r="O196" s="35"/>
      <c r="P196" s="35"/>
      <c r="Q196" s="36"/>
      <c r="R196" s="35"/>
      <c r="S196" s="35"/>
      <c r="T196" s="36"/>
      <c r="U196" s="36"/>
      <c r="V196" s="35"/>
      <c r="W196" s="35"/>
      <c r="X196" s="35"/>
      <c r="Y196" s="35"/>
      <c r="Z196" s="34" t="str">
        <f aca="false">IF(E196="","",IF(U196&lt;&gt;"",U196-E196,README!$B$4-E196))</f>
        <v/>
      </c>
      <c r="AA196" s="34" t="str">
        <f aca="false">IF(OR(T196="",U196=""),"",IF(U196&lt;=T196,"Yes","No"))</f>
        <v/>
      </c>
    </row>
    <row r="197" customFormat="false" ht="15" hidden="false" customHeight="false" outlineLevel="0" collapsed="false">
      <c r="A197" s="34" t="str">
        <f aca="false">IF(B197="","","RCA-"&amp;TEXT(ROW()-1,"000"))</f>
        <v/>
      </c>
      <c r="B197" s="35"/>
      <c r="C197" s="35"/>
      <c r="D197" s="36"/>
      <c r="E197" s="36"/>
      <c r="F197" s="35"/>
      <c r="G197" s="35"/>
      <c r="H197" s="35"/>
      <c r="I197" s="35"/>
      <c r="J197" s="35"/>
      <c r="K197" s="35"/>
      <c r="L197" s="35"/>
      <c r="M197" s="35"/>
      <c r="N197" s="36"/>
      <c r="O197" s="35"/>
      <c r="P197" s="35"/>
      <c r="Q197" s="36"/>
      <c r="R197" s="35"/>
      <c r="S197" s="35"/>
      <c r="T197" s="36"/>
      <c r="U197" s="36"/>
      <c r="V197" s="35"/>
      <c r="W197" s="35"/>
      <c r="X197" s="35"/>
      <c r="Y197" s="35"/>
      <c r="Z197" s="34" t="str">
        <f aca="false">IF(E197="","",IF(U197&lt;&gt;"",U197-E197,README!$B$4-E197))</f>
        <v/>
      </c>
      <c r="AA197" s="34" t="str">
        <f aca="false">IF(OR(T197="",U197=""),"",IF(U197&lt;=T197,"Yes","No"))</f>
        <v/>
      </c>
    </row>
    <row r="198" customFormat="false" ht="15" hidden="false" customHeight="false" outlineLevel="0" collapsed="false">
      <c r="A198" s="34" t="str">
        <f aca="false">IF(B198="","","RCA-"&amp;TEXT(ROW()-1,"000"))</f>
        <v/>
      </c>
      <c r="B198" s="35"/>
      <c r="C198" s="35"/>
      <c r="D198" s="36"/>
      <c r="E198" s="36"/>
      <c r="F198" s="35"/>
      <c r="G198" s="35"/>
      <c r="H198" s="35"/>
      <c r="I198" s="35"/>
      <c r="J198" s="35"/>
      <c r="K198" s="35"/>
      <c r="L198" s="35"/>
      <c r="M198" s="35"/>
      <c r="N198" s="36"/>
      <c r="O198" s="35"/>
      <c r="P198" s="35"/>
      <c r="Q198" s="36"/>
      <c r="R198" s="35"/>
      <c r="S198" s="35"/>
      <c r="T198" s="36"/>
      <c r="U198" s="36"/>
      <c r="V198" s="35"/>
      <c r="W198" s="35"/>
      <c r="X198" s="35"/>
      <c r="Y198" s="35"/>
      <c r="Z198" s="34" t="str">
        <f aca="false">IF(E198="","",IF(U198&lt;&gt;"",U198-E198,README!$B$4-E198))</f>
        <v/>
      </c>
      <c r="AA198" s="34" t="str">
        <f aca="false">IF(OR(T198="",U198=""),"",IF(U198&lt;=T198,"Yes","No"))</f>
        <v/>
      </c>
    </row>
    <row r="199" customFormat="false" ht="15" hidden="false" customHeight="false" outlineLevel="0" collapsed="false">
      <c r="A199" s="34" t="str">
        <f aca="false">IF(B199="","","RCA-"&amp;TEXT(ROW()-1,"000"))</f>
        <v/>
      </c>
      <c r="B199" s="35"/>
      <c r="C199" s="35"/>
      <c r="D199" s="36"/>
      <c r="E199" s="36"/>
      <c r="F199" s="35"/>
      <c r="G199" s="35"/>
      <c r="H199" s="35"/>
      <c r="I199" s="35"/>
      <c r="J199" s="35"/>
      <c r="K199" s="35"/>
      <c r="L199" s="35"/>
      <c r="M199" s="35"/>
      <c r="N199" s="36"/>
      <c r="O199" s="35"/>
      <c r="P199" s="35"/>
      <c r="Q199" s="36"/>
      <c r="R199" s="35"/>
      <c r="S199" s="35"/>
      <c r="T199" s="36"/>
      <c r="U199" s="36"/>
      <c r="V199" s="35"/>
      <c r="W199" s="35"/>
      <c r="X199" s="35"/>
      <c r="Y199" s="35"/>
      <c r="Z199" s="34" t="str">
        <f aca="false">IF(E199="","",IF(U199&lt;&gt;"",U199-E199,README!$B$4-E199))</f>
        <v/>
      </c>
      <c r="AA199" s="34" t="str">
        <f aca="false">IF(OR(T199="",U199=""),"",IF(U199&lt;=T199,"Yes","No"))</f>
        <v/>
      </c>
    </row>
    <row r="200" customFormat="false" ht="15" hidden="false" customHeight="false" outlineLevel="0" collapsed="false">
      <c r="A200" s="34" t="str">
        <f aca="false">IF(B200="","","RCA-"&amp;TEXT(ROW()-1,"000"))</f>
        <v/>
      </c>
      <c r="B200" s="35"/>
      <c r="C200" s="35"/>
      <c r="D200" s="36"/>
      <c r="E200" s="36"/>
      <c r="F200" s="35"/>
      <c r="G200" s="35"/>
      <c r="H200" s="35"/>
      <c r="I200" s="35"/>
      <c r="J200" s="35"/>
      <c r="K200" s="35"/>
      <c r="L200" s="35"/>
      <c r="M200" s="35"/>
      <c r="N200" s="36"/>
      <c r="O200" s="35"/>
      <c r="P200" s="35"/>
      <c r="Q200" s="36"/>
      <c r="R200" s="35"/>
      <c r="S200" s="35"/>
      <c r="T200" s="36"/>
      <c r="U200" s="36"/>
      <c r="V200" s="35"/>
      <c r="W200" s="35"/>
      <c r="X200" s="35"/>
      <c r="Y200" s="35"/>
      <c r="Z200" s="34" t="str">
        <f aca="false">IF(E200="","",IF(U200&lt;&gt;"",U200-E200,README!$B$4-E200))</f>
        <v/>
      </c>
      <c r="AA200" s="34" t="str">
        <f aca="false">IF(OR(T200="",U200=""),"",IF(U200&lt;=T200,"Yes","No"))</f>
        <v/>
      </c>
    </row>
    <row r="201" customFormat="false" ht="15" hidden="false" customHeight="false" outlineLevel="0" collapsed="false">
      <c r="A201" s="34" t="str">
        <f aca="false">IF(B201="","","RCA-"&amp;TEXT(ROW()-1,"000"))</f>
        <v/>
      </c>
      <c r="B201" s="35"/>
      <c r="C201" s="35"/>
      <c r="D201" s="36"/>
      <c r="E201" s="36"/>
      <c r="F201" s="35"/>
      <c r="G201" s="35"/>
      <c r="H201" s="35"/>
      <c r="I201" s="35"/>
      <c r="J201" s="35"/>
      <c r="K201" s="35"/>
      <c r="L201" s="35"/>
      <c r="M201" s="35"/>
      <c r="N201" s="36"/>
      <c r="O201" s="35"/>
      <c r="P201" s="35"/>
      <c r="Q201" s="36"/>
      <c r="R201" s="35"/>
      <c r="S201" s="35"/>
      <c r="T201" s="36"/>
      <c r="U201" s="36"/>
      <c r="V201" s="35"/>
      <c r="W201" s="35"/>
      <c r="X201" s="35"/>
      <c r="Y201" s="35"/>
      <c r="Z201" s="34" t="str">
        <f aca="false">IF(E201="","",IF(U201&lt;&gt;"",U201-E201,README!$B$4-E201))</f>
        <v/>
      </c>
      <c r="AA201" s="34" t="str">
        <f aca="false">IF(OR(T201="",U201=""),"",IF(U201&lt;=T201,"Yes","No"))</f>
        <v/>
      </c>
    </row>
  </sheetData>
  <dataValidations count="7">
    <dataValidation allowBlank="true" errorStyle="stop" operator="between" showDropDown="false" showErrorMessage="false" showInputMessage="false" sqref="G2:G201" type="list">
      <formula1>"Minor,Medium,Major"</formula1>
      <formula2>0</formula2>
    </dataValidation>
    <dataValidation allowBlank="true" errorStyle="stop" operator="between" showDropDown="false" showErrorMessage="false" showInputMessage="false" sqref="K2:K201" type="list">
      <formula1>"Process,People,Technology,Vendor / third party,External / market,Requirement gap"</formula1>
      <formula2>0</formula2>
    </dataValidation>
    <dataValidation allowBlank="true" errorStyle="stop" operator="between" showDropDown="false" showErrorMessage="false" showInputMessage="false" sqref="V2:V201" type="list">
      <formula1>"Open,Under analysis,Correction done,Preventive action in progress,Closed,Reopened"</formula1>
      <formula2>0</formula2>
    </dataValidation>
    <dataValidation allowBlank="true" errorStyle="stop" operator="between" showDropDown="false" showErrorMessage="false" showInputMessage="false" sqref="Y2:Y201" type="list">
      <formula1>"Yes,No"</formula1>
      <formula2>0</formula2>
    </dataValidation>
    <dataValidation allowBlank="true" errorStyle="stop" operator="between" showDropDown="false" showErrorMessage="false" showInputMessage="false" sqref="R2:R201" type="list">
      <formula1>"Product,AI,HR,Accounts,Demat,Digital Marketing,IT,Operations &amp; BO,Compliance,RMS &amp; Dealer,Client Support,jUMPP CS &amp; Sales,Sales,NBFC,Insurance,Admin,Front Desk"</formula1>
      <formula2>0</formula2>
    </dataValidation>
    <dataValidation allowBlank="true" error="Actual closure cannot be before the received date." errorStyle="stop" operator="between" showDropDown="false" showErrorMessage="true" showInputMessage="false" sqref="U2:U201" type="custom">
      <formula1>OR(U2="",U2&gt;=E2)</formula1>
      <formula2>0</formula2>
    </dataValidation>
    <dataValidation allowBlank="true" error="Expected closure cannot be before the received date." errorStyle="stop" operator="between" showDropDown="false" showErrorMessage="true" showInputMessage="false" sqref="T2:T201" type="custom">
      <formula1>OR(T2="",T2&gt;=E2)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10"/>
    <col collapsed="false" customWidth="true" hidden="false" outlineLevel="0" max="6" min="6" style="1" width="70"/>
    <col collapsed="false" customWidth="true" hidden="false" outlineLevel="0" max="7" min="7" style="1" width="22"/>
  </cols>
  <sheetData>
    <row r="1" customFormat="false" ht="15" hidden="false" customHeight="true" outlineLevel="0" collapsed="false">
      <c r="A1" s="10" t="s">
        <v>1796</v>
      </c>
      <c r="B1" s="10" t="s">
        <v>1797</v>
      </c>
      <c r="C1" s="10" t="s">
        <v>1798</v>
      </c>
      <c r="D1" s="10" t="s">
        <v>1799</v>
      </c>
      <c r="E1" s="10" t="s">
        <v>1765</v>
      </c>
      <c r="F1" s="10" t="s">
        <v>1800</v>
      </c>
      <c r="G1" s="10" t="s">
        <v>1801</v>
      </c>
    </row>
    <row r="2" customFormat="false" ht="23.25" hidden="false" customHeight="true" outlineLevel="0" collapsed="false">
      <c r="A2" s="14" t="n">
        <v>1</v>
      </c>
      <c r="B2" s="14" t="s">
        <v>1802</v>
      </c>
      <c r="C2" s="14" t="s">
        <v>1803</v>
      </c>
      <c r="D2" s="14" t="s">
        <v>1804</v>
      </c>
      <c r="E2" s="14" t="s">
        <v>1251</v>
      </c>
      <c r="F2" s="14" t="s">
        <v>1805</v>
      </c>
      <c r="G2" s="14" t="s">
        <v>1806</v>
      </c>
    </row>
    <row r="3" customFormat="false" ht="23.25" hidden="false" customHeight="true" outlineLevel="0" collapsed="false">
      <c r="A3" s="14" t="n">
        <v>2</v>
      </c>
      <c r="B3" s="14" t="s">
        <v>1802</v>
      </c>
      <c r="C3" s="14" t="s">
        <v>1807</v>
      </c>
      <c r="D3" s="14" t="s">
        <v>1808</v>
      </c>
      <c r="E3" s="14" t="s">
        <v>1251</v>
      </c>
      <c r="F3" s="14" t="s">
        <v>1809</v>
      </c>
      <c r="G3" s="14" t="s">
        <v>1810</v>
      </c>
    </row>
    <row r="4" customFormat="false" ht="23.25" hidden="false" customHeight="true" outlineLevel="0" collapsed="false">
      <c r="A4" s="14" t="n">
        <v>3</v>
      </c>
      <c r="B4" s="14" t="s">
        <v>1802</v>
      </c>
      <c r="C4" s="14" t="s">
        <v>1807</v>
      </c>
      <c r="D4" s="14" t="s">
        <v>1811</v>
      </c>
      <c r="E4" s="14" t="s">
        <v>1270</v>
      </c>
      <c r="F4" s="14" t="s">
        <v>1812</v>
      </c>
      <c r="G4" s="14" t="s">
        <v>1813</v>
      </c>
    </row>
    <row r="5" customFormat="false" ht="23.25" hidden="false" customHeight="true" outlineLevel="0" collapsed="false">
      <c r="A5" s="14" t="n">
        <v>4</v>
      </c>
      <c r="B5" s="14" t="s">
        <v>1802</v>
      </c>
      <c r="C5" s="14" t="s">
        <v>1807</v>
      </c>
      <c r="D5" s="14" t="s">
        <v>1814</v>
      </c>
      <c r="E5" s="14" t="s">
        <v>1270</v>
      </c>
      <c r="F5" s="14" t="s">
        <v>1815</v>
      </c>
      <c r="G5" s="14" t="s">
        <v>1816</v>
      </c>
    </row>
    <row r="6" customFormat="false" ht="23.25" hidden="false" customHeight="true" outlineLevel="0" collapsed="false">
      <c r="A6" s="14" t="n">
        <v>5</v>
      </c>
      <c r="B6" s="14" t="s">
        <v>1802</v>
      </c>
      <c r="C6" s="14" t="s">
        <v>1817</v>
      </c>
      <c r="D6" s="14" t="s">
        <v>1818</v>
      </c>
      <c r="E6" s="14" t="s">
        <v>1251</v>
      </c>
      <c r="F6" s="14" t="s">
        <v>1819</v>
      </c>
      <c r="G6" s="14" t="s">
        <v>1820</v>
      </c>
    </row>
    <row r="7" customFormat="false" ht="23.25" hidden="false" customHeight="true" outlineLevel="0" collapsed="false">
      <c r="A7" s="14" t="n">
        <v>6</v>
      </c>
      <c r="B7" s="14" t="s">
        <v>1802</v>
      </c>
      <c r="C7" s="14" t="s">
        <v>1821</v>
      </c>
      <c r="D7" s="14" t="s">
        <v>1822</v>
      </c>
      <c r="E7" s="14" t="s">
        <v>1251</v>
      </c>
      <c r="F7" s="14" t="s">
        <v>1823</v>
      </c>
      <c r="G7" s="14" t="s">
        <v>1824</v>
      </c>
    </row>
    <row r="8" customFormat="false" ht="23.25" hidden="false" customHeight="true" outlineLevel="0" collapsed="false">
      <c r="A8" s="14" t="n">
        <v>7</v>
      </c>
      <c r="B8" s="14" t="s">
        <v>1802</v>
      </c>
      <c r="C8" s="14" t="s">
        <v>1821</v>
      </c>
      <c r="D8" s="14" t="s">
        <v>1825</v>
      </c>
      <c r="E8" s="14" t="s">
        <v>1270</v>
      </c>
      <c r="F8" s="14" t="s">
        <v>1826</v>
      </c>
      <c r="G8" s="14" t="s">
        <v>1827</v>
      </c>
    </row>
    <row r="9" customFormat="false" ht="23.25" hidden="false" customHeight="true" outlineLevel="0" collapsed="false">
      <c r="A9" s="14" t="n">
        <v>8</v>
      </c>
      <c r="B9" s="14" t="s">
        <v>1802</v>
      </c>
      <c r="C9" s="14" t="s">
        <v>1821</v>
      </c>
      <c r="D9" s="14" t="s">
        <v>1828</v>
      </c>
      <c r="E9" s="14" t="s">
        <v>1270</v>
      </c>
      <c r="F9" s="14" t="s">
        <v>1829</v>
      </c>
      <c r="G9" s="14" t="s">
        <v>1830</v>
      </c>
    </row>
    <row r="10" customFormat="false" ht="23.25" hidden="false" customHeight="true" outlineLevel="0" collapsed="false">
      <c r="A10" s="14" t="n">
        <v>9</v>
      </c>
      <c r="B10" s="14" t="s">
        <v>1802</v>
      </c>
      <c r="C10" s="14" t="s">
        <v>1821</v>
      </c>
      <c r="D10" s="14" t="s">
        <v>1831</v>
      </c>
      <c r="E10" s="14" t="s">
        <v>1270</v>
      </c>
      <c r="F10" s="14" t="s">
        <v>1832</v>
      </c>
      <c r="G10" s="14" t="s">
        <v>1833</v>
      </c>
    </row>
    <row r="11" customFormat="false" ht="23.25" hidden="false" customHeight="true" outlineLevel="0" collapsed="false">
      <c r="A11" s="14" t="n">
        <v>10</v>
      </c>
      <c r="B11" s="14" t="s">
        <v>1802</v>
      </c>
      <c r="C11" s="14" t="s">
        <v>1821</v>
      </c>
      <c r="D11" s="14" t="s">
        <v>1834</v>
      </c>
      <c r="E11" s="14" t="s">
        <v>1270</v>
      </c>
      <c r="F11" s="14" t="s">
        <v>1835</v>
      </c>
      <c r="G11" s="14" t="s">
        <v>1836</v>
      </c>
    </row>
    <row r="12" customFormat="false" ht="23.25" hidden="false" customHeight="true" outlineLevel="0" collapsed="false">
      <c r="A12" s="14" t="n">
        <v>11</v>
      </c>
      <c r="B12" s="14" t="s">
        <v>1802</v>
      </c>
      <c r="C12" s="14" t="s">
        <v>1837</v>
      </c>
      <c r="D12" s="14" t="s">
        <v>1838</v>
      </c>
      <c r="E12" s="14" t="s">
        <v>1270</v>
      </c>
      <c r="F12" s="14" t="s">
        <v>1839</v>
      </c>
      <c r="G12" s="14" t="s">
        <v>1840</v>
      </c>
    </row>
    <row r="13" customFormat="false" ht="23.25" hidden="false" customHeight="true" outlineLevel="0" collapsed="false">
      <c r="A13" s="14" t="n">
        <v>12</v>
      </c>
      <c r="B13" s="14" t="s">
        <v>1802</v>
      </c>
      <c r="C13" s="14" t="s">
        <v>1841</v>
      </c>
      <c r="D13" s="14" t="s">
        <v>1842</v>
      </c>
      <c r="E13" s="14" t="s">
        <v>1251</v>
      </c>
      <c r="F13" s="14" t="s">
        <v>1843</v>
      </c>
      <c r="G13" s="14" t="s">
        <v>5</v>
      </c>
    </row>
    <row r="14" customFormat="false" ht="23.25" hidden="false" customHeight="true" outlineLevel="0" collapsed="false">
      <c r="A14" s="14" t="n">
        <v>13</v>
      </c>
      <c r="B14" s="14" t="s">
        <v>1844</v>
      </c>
      <c r="C14" s="14" t="s">
        <v>1845</v>
      </c>
      <c r="D14" s="14" t="s">
        <v>1846</v>
      </c>
      <c r="E14" s="14" t="s">
        <v>1251</v>
      </c>
      <c r="F14" s="14" t="s">
        <v>1847</v>
      </c>
      <c r="G14" s="14" t="s">
        <v>1848</v>
      </c>
    </row>
    <row r="15" customFormat="false" ht="23.25" hidden="false" customHeight="true" outlineLevel="0" collapsed="false">
      <c r="A15" s="14" t="n">
        <v>14</v>
      </c>
      <c r="B15" s="14" t="s">
        <v>1844</v>
      </c>
      <c r="C15" s="14" t="s">
        <v>1849</v>
      </c>
      <c r="D15" s="14" t="s">
        <v>1850</v>
      </c>
      <c r="E15" s="14" t="s">
        <v>1251</v>
      </c>
      <c r="F15" s="14" t="s">
        <v>1851</v>
      </c>
      <c r="G15" s="14" t="s">
        <v>13</v>
      </c>
    </row>
    <row r="16" customFormat="false" ht="23.25" hidden="false" customHeight="true" outlineLevel="0" collapsed="false">
      <c r="A16" s="14" t="n">
        <v>15</v>
      </c>
      <c r="B16" s="14" t="s">
        <v>1844</v>
      </c>
      <c r="C16" s="14" t="s">
        <v>1849</v>
      </c>
      <c r="D16" s="14" t="s">
        <v>1852</v>
      </c>
      <c r="E16" s="14" t="s">
        <v>1251</v>
      </c>
      <c r="F16" s="14" t="s">
        <v>1853</v>
      </c>
      <c r="G16" s="14" t="s">
        <v>13</v>
      </c>
    </row>
    <row r="17" customFormat="false" ht="23.25" hidden="false" customHeight="true" outlineLevel="0" collapsed="false">
      <c r="A17" s="14" t="n">
        <v>16</v>
      </c>
      <c r="B17" s="14" t="s">
        <v>1844</v>
      </c>
      <c r="C17" s="14" t="s">
        <v>1233</v>
      </c>
      <c r="D17" s="14" t="s">
        <v>1854</v>
      </c>
      <c r="E17" s="14" t="s">
        <v>1251</v>
      </c>
      <c r="F17" s="14" t="s">
        <v>1855</v>
      </c>
      <c r="G17" s="14" t="s">
        <v>15</v>
      </c>
    </row>
    <row r="18" customFormat="false" ht="23.25" hidden="false" customHeight="true" outlineLevel="0" collapsed="false">
      <c r="A18" s="14" t="n">
        <v>17</v>
      </c>
      <c r="B18" s="14" t="s">
        <v>1844</v>
      </c>
      <c r="C18" s="14" t="s">
        <v>1856</v>
      </c>
      <c r="D18" s="14" t="s">
        <v>1857</v>
      </c>
      <c r="E18" s="14" t="s">
        <v>1251</v>
      </c>
      <c r="F18" s="14" t="s">
        <v>1858</v>
      </c>
      <c r="G18" s="14" t="s">
        <v>13</v>
      </c>
    </row>
    <row r="19" customFormat="false" ht="23.25" hidden="false" customHeight="true" outlineLevel="0" collapsed="false">
      <c r="A19" s="14" t="n">
        <v>18</v>
      </c>
      <c r="B19" s="14" t="s">
        <v>1844</v>
      </c>
      <c r="C19" s="14" t="s">
        <v>1859</v>
      </c>
      <c r="D19" s="14" t="s">
        <v>1860</v>
      </c>
      <c r="E19" s="14" t="s">
        <v>1251</v>
      </c>
      <c r="F19" s="14" t="s">
        <v>1861</v>
      </c>
      <c r="G19" s="14" t="s">
        <v>1862</v>
      </c>
    </row>
    <row r="20" customFormat="false" ht="23.25" hidden="false" customHeight="true" outlineLevel="0" collapsed="false">
      <c r="A20" s="14" t="n">
        <v>19</v>
      </c>
      <c r="B20" s="14" t="s">
        <v>1844</v>
      </c>
      <c r="C20" s="14" t="s">
        <v>1717</v>
      </c>
      <c r="D20" s="14" t="s">
        <v>1863</v>
      </c>
      <c r="E20" s="14" t="s">
        <v>1251</v>
      </c>
      <c r="F20" s="14" t="s">
        <v>1864</v>
      </c>
      <c r="G20" s="14" t="s">
        <v>13</v>
      </c>
    </row>
    <row r="21" customFormat="false" ht="23.25" hidden="false" customHeight="true" outlineLevel="0" collapsed="false">
      <c r="A21" s="14" t="n">
        <v>20</v>
      </c>
      <c r="B21" s="14" t="s">
        <v>1844</v>
      </c>
      <c r="C21" s="14" t="s">
        <v>1717</v>
      </c>
      <c r="D21" s="14" t="s">
        <v>1865</v>
      </c>
      <c r="E21" s="14" t="s">
        <v>1251</v>
      </c>
      <c r="F21" s="14" t="s">
        <v>1866</v>
      </c>
      <c r="G21" s="14" t="s">
        <v>1867</v>
      </c>
    </row>
    <row r="22" customFormat="false" ht="23.25" hidden="false" customHeight="true" outlineLevel="0" collapsed="false">
      <c r="A22" s="14" t="n">
        <v>21</v>
      </c>
      <c r="B22" s="14" t="s">
        <v>1844</v>
      </c>
      <c r="C22" s="14" t="s">
        <v>1717</v>
      </c>
      <c r="D22" s="14" t="s">
        <v>1868</v>
      </c>
      <c r="E22" s="14" t="s">
        <v>1270</v>
      </c>
      <c r="F22" s="14" t="s">
        <v>1869</v>
      </c>
      <c r="G22" s="14" t="s">
        <v>1870</v>
      </c>
    </row>
    <row r="23" customFormat="false" ht="23.25" hidden="false" customHeight="true" outlineLevel="0" collapsed="false">
      <c r="A23" s="14" t="n">
        <v>22</v>
      </c>
      <c r="B23" s="14" t="s">
        <v>1844</v>
      </c>
      <c r="C23" s="14" t="s">
        <v>1871</v>
      </c>
      <c r="D23" s="14" t="s">
        <v>1872</v>
      </c>
      <c r="E23" s="14" t="s">
        <v>1270</v>
      </c>
      <c r="F23" s="14" t="s">
        <v>1873</v>
      </c>
      <c r="G23" s="14" t="s">
        <v>1874</v>
      </c>
    </row>
    <row r="24" customFormat="false" ht="23.25" hidden="false" customHeight="true" outlineLevel="0" collapsed="false">
      <c r="A24" s="14" t="n">
        <v>23</v>
      </c>
      <c r="B24" s="14" t="s">
        <v>1844</v>
      </c>
      <c r="C24" s="14" t="s">
        <v>1875</v>
      </c>
      <c r="D24" s="14" t="s">
        <v>1876</v>
      </c>
      <c r="E24" s="14" t="s">
        <v>1270</v>
      </c>
      <c r="F24" s="14" t="s">
        <v>1877</v>
      </c>
      <c r="G24" s="14" t="s">
        <v>9</v>
      </c>
    </row>
    <row r="25" customFormat="false" ht="23.25" hidden="false" customHeight="true" outlineLevel="0" collapsed="false">
      <c r="A25" s="14" t="n">
        <v>24</v>
      </c>
      <c r="B25" s="14" t="s">
        <v>1844</v>
      </c>
      <c r="C25" s="14" t="s">
        <v>1878</v>
      </c>
      <c r="D25" s="14" t="s">
        <v>1879</v>
      </c>
      <c r="E25" s="14" t="s">
        <v>1753</v>
      </c>
      <c r="F25" s="14" t="s">
        <v>1880</v>
      </c>
      <c r="G25" s="14" t="s">
        <v>13</v>
      </c>
    </row>
    <row r="26" customFormat="false" ht="23.25" hidden="false" customHeight="true" outlineLevel="0" collapsed="false">
      <c r="A26" s="14" t="n">
        <v>25</v>
      </c>
      <c r="B26" s="14" t="s">
        <v>1844</v>
      </c>
      <c r="C26" s="14" t="s">
        <v>1881</v>
      </c>
      <c r="D26" s="14" t="s">
        <v>1882</v>
      </c>
      <c r="E26" s="14" t="s">
        <v>1251</v>
      </c>
      <c r="F26" s="14" t="s">
        <v>1883</v>
      </c>
      <c r="G26" s="14" t="s">
        <v>17</v>
      </c>
    </row>
    <row r="27" customFormat="false" ht="23.25" hidden="false" customHeight="true" outlineLevel="0" collapsed="false">
      <c r="A27" s="14" t="n">
        <v>26</v>
      </c>
      <c r="B27" s="14" t="s">
        <v>1844</v>
      </c>
      <c r="C27" s="14" t="s">
        <v>1881</v>
      </c>
      <c r="D27" s="14" t="s">
        <v>1884</v>
      </c>
      <c r="E27" s="14" t="s">
        <v>1270</v>
      </c>
      <c r="F27" s="14" t="s">
        <v>1885</v>
      </c>
      <c r="G27" s="14" t="s">
        <v>1886</v>
      </c>
    </row>
    <row r="28" customFormat="false" ht="23.25" hidden="false" customHeight="true" outlineLevel="0" collapsed="false">
      <c r="A28" s="14" t="n">
        <v>27</v>
      </c>
      <c r="B28" s="14" t="s">
        <v>1844</v>
      </c>
      <c r="C28" s="14" t="s">
        <v>1881</v>
      </c>
      <c r="D28" s="14" t="s">
        <v>1887</v>
      </c>
      <c r="E28" s="14" t="s">
        <v>1270</v>
      </c>
      <c r="F28" s="14" t="s">
        <v>1888</v>
      </c>
      <c r="G28" s="14" t="s">
        <v>17</v>
      </c>
    </row>
    <row r="29" customFormat="false" ht="23.25" hidden="false" customHeight="true" outlineLevel="0" collapsed="false">
      <c r="A29" s="14" t="n">
        <v>28</v>
      </c>
      <c r="B29" s="14" t="s">
        <v>1844</v>
      </c>
      <c r="C29" s="14" t="s">
        <v>1889</v>
      </c>
      <c r="D29" s="14" t="s">
        <v>1890</v>
      </c>
      <c r="E29" s="14" t="s">
        <v>1251</v>
      </c>
      <c r="F29" s="14" t="s">
        <v>1891</v>
      </c>
      <c r="G29" s="14" t="s">
        <v>1892</v>
      </c>
    </row>
    <row r="30" customFormat="false" ht="23.25" hidden="false" customHeight="true" outlineLevel="0" collapsed="false">
      <c r="A30" s="14" t="n">
        <v>29</v>
      </c>
      <c r="B30" s="14" t="s">
        <v>1844</v>
      </c>
      <c r="C30" s="14" t="s">
        <v>1889</v>
      </c>
      <c r="D30" s="14" t="s">
        <v>1893</v>
      </c>
      <c r="E30" s="14" t="s">
        <v>1251</v>
      </c>
      <c r="F30" s="14" t="s">
        <v>1894</v>
      </c>
      <c r="G30" s="14" t="s">
        <v>17</v>
      </c>
    </row>
    <row r="31" customFormat="false" ht="23.25" hidden="false" customHeight="true" outlineLevel="0" collapsed="false">
      <c r="A31" s="14" t="n">
        <v>30</v>
      </c>
      <c r="B31" s="14" t="s">
        <v>1844</v>
      </c>
      <c r="C31" s="14" t="s">
        <v>1889</v>
      </c>
      <c r="D31" s="14" t="s">
        <v>1895</v>
      </c>
      <c r="E31" s="14" t="s">
        <v>1251</v>
      </c>
      <c r="F31" s="14" t="s">
        <v>1896</v>
      </c>
      <c r="G31" s="14" t="s">
        <v>13</v>
      </c>
    </row>
    <row r="32" customFormat="false" ht="23.25" hidden="false" customHeight="true" outlineLevel="0" collapsed="false">
      <c r="A32" s="14" t="n">
        <v>31</v>
      </c>
      <c r="B32" s="14" t="s">
        <v>1844</v>
      </c>
      <c r="C32" s="14" t="s">
        <v>1889</v>
      </c>
      <c r="D32" s="14" t="s">
        <v>1897</v>
      </c>
      <c r="E32" s="14" t="s">
        <v>1251</v>
      </c>
      <c r="F32" s="14" t="s">
        <v>1898</v>
      </c>
      <c r="G32" s="14" t="s">
        <v>1899</v>
      </c>
    </row>
    <row r="33" customFormat="false" ht="15" hidden="false" customHeight="true" outlineLevel="0" collapsed="false">
      <c r="A33" s="14" t="n">
        <v>32</v>
      </c>
      <c r="B33" s="14" t="s">
        <v>1844</v>
      </c>
      <c r="C33" s="14" t="s">
        <v>1889</v>
      </c>
      <c r="D33" s="14" t="s">
        <v>1900</v>
      </c>
      <c r="E33" s="14" t="s">
        <v>1753</v>
      </c>
      <c r="F33" s="14" t="s">
        <v>1901</v>
      </c>
      <c r="G33" s="14" t="s">
        <v>17</v>
      </c>
    </row>
    <row r="34" customFormat="false" ht="23.25" hidden="false" customHeight="true" outlineLevel="0" collapsed="false">
      <c r="A34" s="14" t="n">
        <v>33</v>
      </c>
      <c r="B34" s="14" t="s">
        <v>1902</v>
      </c>
      <c r="C34" s="14" t="s">
        <v>1903</v>
      </c>
      <c r="D34" s="14" t="s">
        <v>1904</v>
      </c>
      <c r="E34" s="14" t="s">
        <v>1251</v>
      </c>
      <c r="F34" s="14" t="s">
        <v>1905</v>
      </c>
      <c r="G34" s="14" t="s">
        <v>5</v>
      </c>
    </row>
    <row r="35" customFormat="false" ht="23.25" hidden="false" customHeight="true" outlineLevel="0" collapsed="false">
      <c r="A35" s="14" t="n">
        <v>34</v>
      </c>
      <c r="B35" s="14" t="s">
        <v>1902</v>
      </c>
      <c r="C35" s="14" t="s">
        <v>1906</v>
      </c>
      <c r="D35" s="14" t="s">
        <v>1907</v>
      </c>
      <c r="E35" s="14" t="s">
        <v>1270</v>
      </c>
      <c r="F35" s="14" t="s">
        <v>1908</v>
      </c>
      <c r="G35" s="14" t="s">
        <v>5</v>
      </c>
    </row>
    <row r="36" customFormat="false" ht="23.25" hidden="false" customHeight="true" outlineLevel="0" collapsed="false">
      <c r="A36" s="14" t="n">
        <v>35</v>
      </c>
      <c r="B36" s="14" t="s">
        <v>1902</v>
      </c>
      <c r="C36" s="14" t="s">
        <v>1841</v>
      </c>
      <c r="D36" s="14" t="s">
        <v>1909</v>
      </c>
      <c r="E36" s="14" t="s">
        <v>1251</v>
      </c>
      <c r="F36" s="14" t="s">
        <v>1910</v>
      </c>
      <c r="G36" s="14" t="s">
        <v>7</v>
      </c>
    </row>
    <row r="37" customFormat="false" ht="23.25" hidden="false" customHeight="true" outlineLevel="0" collapsed="false">
      <c r="A37" s="14" t="n">
        <v>36</v>
      </c>
      <c r="B37" s="14" t="s">
        <v>1902</v>
      </c>
      <c r="C37" s="14" t="s">
        <v>1911</v>
      </c>
      <c r="D37" s="14" t="s">
        <v>1912</v>
      </c>
      <c r="E37" s="14" t="s">
        <v>1270</v>
      </c>
      <c r="F37" s="14" t="s">
        <v>1913</v>
      </c>
      <c r="G37" s="14" t="s">
        <v>7</v>
      </c>
    </row>
    <row r="38" customFormat="false" ht="23.25" hidden="false" customHeight="true" outlineLevel="0" collapsed="false">
      <c r="A38" s="14" t="n">
        <v>37</v>
      </c>
      <c r="B38" s="14" t="s">
        <v>1902</v>
      </c>
      <c r="C38" s="14" t="s">
        <v>1914</v>
      </c>
      <c r="D38" s="14" t="s">
        <v>1915</v>
      </c>
      <c r="E38" s="14" t="s">
        <v>1270</v>
      </c>
      <c r="F38" s="14" t="s">
        <v>1916</v>
      </c>
      <c r="G38" s="14" t="s">
        <v>1917</v>
      </c>
    </row>
    <row r="39" customFormat="false" ht="23.25" hidden="false" customHeight="true" outlineLevel="0" collapsed="false">
      <c r="A39" s="14" t="n">
        <v>38</v>
      </c>
      <c r="B39" s="14" t="s">
        <v>1902</v>
      </c>
      <c r="C39" s="14" t="s">
        <v>1918</v>
      </c>
      <c r="D39" s="14" t="s">
        <v>1919</v>
      </c>
      <c r="E39" s="14" t="s">
        <v>1270</v>
      </c>
      <c r="F39" s="14" t="s">
        <v>1920</v>
      </c>
      <c r="G39" s="14" t="s">
        <v>1921</v>
      </c>
    </row>
    <row r="40" customFormat="false" ht="23.25" hidden="false" customHeight="true" outlineLevel="0" collapsed="false">
      <c r="A40" s="14" t="n">
        <v>39</v>
      </c>
      <c r="B40" s="14" t="s">
        <v>1902</v>
      </c>
      <c r="C40" s="14" t="s">
        <v>1922</v>
      </c>
      <c r="D40" s="14" t="s">
        <v>1923</v>
      </c>
      <c r="E40" s="14" t="s">
        <v>1753</v>
      </c>
      <c r="F40" s="14" t="s">
        <v>1924</v>
      </c>
      <c r="G40" s="14" t="s">
        <v>5</v>
      </c>
    </row>
    <row r="41" customFormat="false" ht="23.25" hidden="false" customHeight="true" outlineLevel="0" collapsed="false">
      <c r="A41" s="14" t="n">
        <v>40</v>
      </c>
      <c r="B41" s="14" t="s">
        <v>1902</v>
      </c>
      <c r="C41" s="14" t="s">
        <v>1925</v>
      </c>
      <c r="D41" s="14" t="s">
        <v>1926</v>
      </c>
      <c r="E41" s="14" t="s">
        <v>1270</v>
      </c>
      <c r="F41" s="14" t="s">
        <v>1927</v>
      </c>
      <c r="G41" s="14" t="s">
        <v>1928</v>
      </c>
    </row>
    <row r="42" customFormat="false" ht="15" hidden="false" customHeight="true" outlineLevel="0" collapsed="false">
      <c r="A42" s="14" t="n">
        <v>41</v>
      </c>
      <c r="B42" s="14" t="s">
        <v>1929</v>
      </c>
      <c r="C42" s="14" t="s">
        <v>1817</v>
      </c>
      <c r="D42" s="14" t="s">
        <v>1930</v>
      </c>
      <c r="E42" s="14" t="s">
        <v>1251</v>
      </c>
      <c r="F42" s="14" t="s">
        <v>1931</v>
      </c>
      <c r="G42" s="14" t="s">
        <v>1932</v>
      </c>
    </row>
    <row r="43" customFormat="false" ht="23.25" hidden="false" customHeight="true" outlineLevel="0" collapsed="false">
      <c r="A43" s="14" t="n">
        <v>42</v>
      </c>
      <c r="B43" s="14" t="s">
        <v>1929</v>
      </c>
      <c r="C43" s="14" t="s">
        <v>1933</v>
      </c>
      <c r="D43" s="14" t="s">
        <v>1934</v>
      </c>
      <c r="E43" s="14" t="s">
        <v>1251</v>
      </c>
      <c r="F43" s="14" t="s">
        <v>1935</v>
      </c>
      <c r="G43" s="14" t="s">
        <v>1936</v>
      </c>
    </row>
    <row r="44" customFormat="false" ht="15" hidden="false" customHeight="true" outlineLevel="0" collapsed="false">
      <c r="A44" s="14" t="n">
        <v>43</v>
      </c>
      <c r="B44" s="14" t="s">
        <v>1929</v>
      </c>
      <c r="C44" s="14" t="s">
        <v>1937</v>
      </c>
      <c r="D44" s="14" t="s">
        <v>1938</v>
      </c>
      <c r="E44" s="14" t="s">
        <v>1251</v>
      </c>
      <c r="F44" s="14" t="s">
        <v>1939</v>
      </c>
      <c r="G44" s="14" t="s">
        <v>1940</v>
      </c>
    </row>
    <row r="45" customFormat="false" ht="23.25" hidden="false" customHeight="true" outlineLevel="0" collapsed="false">
      <c r="A45" s="14" t="n">
        <v>44</v>
      </c>
      <c r="B45" s="14" t="s">
        <v>1929</v>
      </c>
      <c r="C45" s="14" t="s">
        <v>1937</v>
      </c>
      <c r="D45" s="14" t="s">
        <v>1941</v>
      </c>
      <c r="E45" s="14" t="s">
        <v>1270</v>
      </c>
      <c r="F45" s="14" t="s">
        <v>1942</v>
      </c>
      <c r="G45" s="14" t="s">
        <v>1943</v>
      </c>
    </row>
    <row r="46" customFormat="false" ht="23.25" hidden="false" customHeight="true" outlineLevel="0" collapsed="false">
      <c r="A46" s="14" t="n">
        <v>45</v>
      </c>
      <c r="B46" s="14" t="s">
        <v>1929</v>
      </c>
      <c r="C46" s="14" t="s">
        <v>1944</v>
      </c>
      <c r="D46" s="14" t="s">
        <v>1945</v>
      </c>
      <c r="E46" s="14" t="s">
        <v>1251</v>
      </c>
      <c r="F46" s="14" t="s">
        <v>1946</v>
      </c>
      <c r="G46" s="14" t="s">
        <v>1947</v>
      </c>
    </row>
    <row r="47" customFormat="false" ht="23.25" hidden="false" customHeight="true" outlineLevel="0" collapsed="false">
      <c r="A47" s="14" t="n">
        <v>46</v>
      </c>
      <c r="B47" s="14" t="s">
        <v>1929</v>
      </c>
      <c r="C47" s="14" t="s">
        <v>1948</v>
      </c>
      <c r="D47" s="14" t="s">
        <v>1949</v>
      </c>
      <c r="E47" s="14" t="s">
        <v>1251</v>
      </c>
      <c r="F47" s="14" t="s">
        <v>1950</v>
      </c>
      <c r="G47" s="14" t="s">
        <v>1951</v>
      </c>
    </row>
    <row r="48" customFormat="false" ht="46.25" hidden="false" customHeight="false" outlineLevel="0" collapsed="false">
      <c r="A48" s="24" t="n">
        <v>47</v>
      </c>
      <c r="B48" s="24" t="s">
        <v>1952</v>
      </c>
      <c r="C48" s="24" t="s">
        <v>1906</v>
      </c>
      <c r="D48" s="24" t="s">
        <v>1953</v>
      </c>
      <c r="E48" s="24" t="s">
        <v>1270</v>
      </c>
      <c r="F48" s="24" t="s">
        <v>1954</v>
      </c>
      <c r="G48" s="24" t="s">
        <v>21</v>
      </c>
    </row>
    <row r="49" customFormat="false" ht="23.85" hidden="false" customHeight="false" outlineLevel="0" collapsed="false">
      <c r="A49" s="24" t="n">
        <v>48</v>
      </c>
      <c r="B49" s="24" t="s">
        <v>1952</v>
      </c>
      <c r="C49" s="24" t="s">
        <v>1955</v>
      </c>
      <c r="D49" s="24" t="s">
        <v>1956</v>
      </c>
      <c r="E49" s="24" t="s">
        <v>1251</v>
      </c>
      <c r="F49" s="24" t="s">
        <v>1957</v>
      </c>
      <c r="G49" s="24" t="s">
        <v>1958</v>
      </c>
    </row>
    <row r="50" customFormat="false" ht="35.05" hidden="false" customHeight="false" outlineLevel="0" collapsed="false">
      <c r="A50" s="24" t="n">
        <v>49</v>
      </c>
      <c r="B50" s="24" t="s">
        <v>1952</v>
      </c>
      <c r="C50" s="24" t="s">
        <v>1959</v>
      </c>
      <c r="D50" s="24" t="s">
        <v>1960</v>
      </c>
      <c r="E50" s="24" t="s">
        <v>1251</v>
      </c>
      <c r="F50" s="24" t="s">
        <v>1961</v>
      </c>
      <c r="G50" s="24" t="s">
        <v>21</v>
      </c>
    </row>
    <row r="51" customFormat="false" ht="23.85" hidden="false" customHeight="false" outlineLevel="0" collapsed="false">
      <c r="A51" s="24" t="n">
        <v>50</v>
      </c>
      <c r="B51" s="24" t="s">
        <v>1952</v>
      </c>
      <c r="C51" s="24" t="s">
        <v>1962</v>
      </c>
      <c r="D51" s="24" t="s">
        <v>1963</v>
      </c>
      <c r="E51" s="24" t="s">
        <v>1753</v>
      </c>
      <c r="F51" s="24" t="s">
        <v>1964</v>
      </c>
      <c r="G51" s="24" t="s">
        <v>21</v>
      </c>
    </row>
    <row r="52" customFormat="false" ht="23.85" hidden="false" customHeight="false" outlineLevel="0" collapsed="false">
      <c r="A52" s="24" t="n">
        <v>51</v>
      </c>
      <c r="B52" s="24" t="s">
        <v>1952</v>
      </c>
      <c r="C52" s="24" t="s">
        <v>1965</v>
      </c>
      <c r="D52" s="24" t="s">
        <v>1966</v>
      </c>
      <c r="E52" s="24" t="s">
        <v>1270</v>
      </c>
      <c r="F52" s="24" t="s">
        <v>1967</v>
      </c>
      <c r="G52" s="24" t="s">
        <v>21</v>
      </c>
    </row>
    <row r="53" customFormat="false" ht="35.05" hidden="false" customHeight="false" outlineLevel="0" collapsed="false">
      <c r="A53" s="24" t="n">
        <v>52</v>
      </c>
      <c r="B53" s="24" t="s">
        <v>1952</v>
      </c>
      <c r="C53" s="24" t="s">
        <v>1968</v>
      </c>
      <c r="D53" s="24" t="s">
        <v>1969</v>
      </c>
      <c r="E53" s="24" t="s">
        <v>1251</v>
      </c>
      <c r="F53" s="24" t="s">
        <v>1970</v>
      </c>
      <c r="G53" s="24" t="s">
        <v>1971</v>
      </c>
    </row>
    <row r="54" customFormat="false" ht="23.85" hidden="false" customHeight="false" outlineLevel="0" collapsed="false">
      <c r="A54" s="24" t="n">
        <v>53</v>
      </c>
      <c r="B54" s="24" t="s">
        <v>1952</v>
      </c>
      <c r="C54" s="24" t="s">
        <v>1972</v>
      </c>
      <c r="D54" s="24" t="s">
        <v>1973</v>
      </c>
      <c r="E54" s="24" t="s">
        <v>1270</v>
      </c>
      <c r="F54" s="24" t="s">
        <v>1974</v>
      </c>
      <c r="G54" s="24" t="s">
        <v>23</v>
      </c>
    </row>
    <row r="55" customFormat="false" ht="23.85" hidden="false" customHeight="false" outlineLevel="0" collapsed="false">
      <c r="A55" s="24" t="n">
        <v>54</v>
      </c>
      <c r="B55" s="24" t="s">
        <v>1975</v>
      </c>
      <c r="C55" s="24" t="s">
        <v>1622</v>
      </c>
      <c r="D55" s="24" t="s">
        <v>1976</v>
      </c>
      <c r="E55" s="24" t="s">
        <v>1251</v>
      </c>
      <c r="F55" s="24" t="s">
        <v>1977</v>
      </c>
      <c r="G55" s="24" t="s">
        <v>25</v>
      </c>
    </row>
    <row r="56" customFormat="false" ht="23.85" hidden="false" customHeight="false" outlineLevel="0" collapsed="false">
      <c r="A56" s="24" t="n">
        <v>55</v>
      </c>
      <c r="B56" s="24" t="s">
        <v>1975</v>
      </c>
      <c r="C56" s="24" t="s">
        <v>1978</v>
      </c>
      <c r="D56" s="24" t="s">
        <v>1979</v>
      </c>
      <c r="E56" s="24" t="s">
        <v>1270</v>
      </c>
      <c r="F56" s="24" t="s">
        <v>1980</v>
      </c>
      <c r="G56" s="24" t="s">
        <v>25</v>
      </c>
    </row>
    <row r="57" customFormat="false" ht="35.05" hidden="false" customHeight="false" outlineLevel="0" collapsed="false">
      <c r="A57" s="24" t="n">
        <v>56</v>
      </c>
      <c r="B57" s="24" t="s">
        <v>1975</v>
      </c>
      <c r="C57" s="24" t="s">
        <v>1981</v>
      </c>
      <c r="D57" s="24" t="s">
        <v>1982</v>
      </c>
      <c r="E57" s="24" t="s">
        <v>1251</v>
      </c>
      <c r="F57" s="24" t="s">
        <v>1983</v>
      </c>
      <c r="G57" s="24" t="s">
        <v>1984</v>
      </c>
    </row>
    <row r="58" customFormat="false" ht="23.85" hidden="false" customHeight="false" outlineLevel="0" collapsed="false">
      <c r="A58" s="24" t="n">
        <v>57</v>
      </c>
      <c r="B58" s="24" t="s">
        <v>1975</v>
      </c>
      <c r="C58" s="24" t="s">
        <v>1985</v>
      </c>
      <c r="D58" s="24" t="s">
        <v>1986</v>
      </c>
      <c r="E58" s="24" t="s">
        <v>1251</v>
      </c>
      <c r="F58" s="24" t="s">
        <v>1987</v>
      </c>
      <c r="G58" s="24" t="s">
        <v>1988</v>
      </c>
    </row>
    <row r="59" customFormat="false" ht="15" hidden="false" customHeight="false" outlineLevel="0" collapsed="false">
      <c r="A59" s="24" t="n">
        <v>58</v>
      </c>
      <c r="B59" s="24" t="s">
        <v>1975</v>
      </c>
      <c r="C59" s="24" t="s">
        <v>1989</v>
      </c>
      <c r="D59" s="24" t="s">
        <v>1990</v>
      </c>
      <c r="E59" s="24" t="s">
        <v>1753</v>
      </c>
      <c r="F59" s="24" t="s">
        <v>1991</v>
      </c>
      <c r="G59" s="2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2026-09-29T13:11:47Z</dcterms:created>
  <dc:creator>openpyxl</dc:creator>
  <dc:description/>
  <dc:language>en-US</dc:language>
  <cp:lastModifiedBy/>
  <dcterms:modified xsi:type="dcterms:W3CDTF">2026-10-08T12:53:21Z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